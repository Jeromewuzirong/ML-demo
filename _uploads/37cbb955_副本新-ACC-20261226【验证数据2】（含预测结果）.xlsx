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xw86\Downloads\"/>
    </mc:Choice>
  </mc:AlternateContent>
  <xr:revisionPtr revIDLastSave="0" documentId="8_{FD25B848-5C6B-4C5E-B4CC-444505B76E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 (2)" sheetId="2" r:id="rId1"/>
  </sheets>
  <definedNames>
    <definedName name="_xlnm._FilterDatabase" localSheetId="0" hidden="1">'Sheet1 (2)'!$A$18:$W$62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2" i="2" l="1"/>
  <c r="O62" i="2"/>
  <c r="M62" i="2"/>
  <c r="K62" i="2"/>
  <c r="P61" i="2"/>
  <c r="O61" i="2"/>
  <c r="M61" i="2"/>
  <c r="K61" i="2"/>
  <c r="P60" i="2"/>
  <c r="O60" i="2"/>
  <c r="M60" i="2"/>
  <c r="K60" i="2"/>
  <c r="P59" i="2"/>
  <c r="O59" i="2"/>
  <c r="M59" i="2"/>
  <c r="K59" i="2"/>
  <c r="O58" i="2"/>
  <c r="K58" i="2"/>
  <c r="O57" i="2"/>
  <c r="K57" i="2"/>
  <c r="O56" i="2"/>
  <c r="K56" i="2"/>
  <c r="O55" i="2"/>
  <c r="K55" i="2"/>
  <c r="O54" i="2"/>
  <c r="K54" i="2"/>
  <c r="O53" i="2"/>
  <c r="K53" i="2"/>
  <c r="O52" i="2"/>
  <c r="K52" i="2"/>
  <c r="O51" i="2"/>
  <c r="K51" i="2"/>
  <c r="O50" i="2"/>
  <c r="M50" i="2"/>
  <c r="K50" i="2"/>
  <c r="O49" i="2"/>
  <c r="M49" i="2"/>
  <c r="K49" i="2"/>
  <c r="O48" i="2"/>
  <c r="M48" i="2"/>
  <c r="K48" i="2"/>
  <c r="O47" i="2"/>
  <c r="M47" i="2"/>
  <c r="K47" i="2"/>
  <c r="O46" i="2"/>
  <c r="K46" i="2"/>
  <c r="O45" i="2"/>
  <c r="M45" i="2"/>
  <c r="K45" i="2"/>
  <c r="O44" i="2"/>
  <c r="M44" i="2"/>
  <c r="K44" i="2"/>
  <c r="O43" i="2"/>
  <c r="M43" i="2"/>
  <c r="K43" i="2"/>
  <c r="O42" i="2"/>
  <c r="M42" i="2"/>
  <c r="K42" i="2"/>
  <c r="O41" i="2"/>
  <c r="M41" i="2"/>
  <c r="K41" i="2"/>
  <c r="O40" i="2"/>
  <c r="M40" i="2"/>
  <c r="K40" i="2"/>
  <c r="O39" i="2"/>
  <c r="M39" i="2"/>
  <c r="K39" i="2"/>
  <c r="O38" i="2"/>
  <c r="M38" i="2"/>
  <c r="K38" i="2"/>
  <c r="O37" i="2"/>
  <c r="M37" i="2"/>
  <c r="K37" i="2"/>
  <c r="O36" i="2"/>
  <c r="M36" i="2"/>
  <c r="K36" i="2"/>
  <c r="O35" i="2"/>
  <c r="M35" i="2"/>
  <c r="K35" i="2"/>
  <c r="O34" i="2"/>
  <c r="M34" i="2"/>
  <c r="K34" i="2"/>
  <c r="O33" i="2"/>
  <c r="M33" i="2"/>
  <c r="K33" i="2"/>
  <c r="O32" i="2"/>
  <c r="M32" i="2"/>
  <c r="K32" i="2"/>
  <c r="O31" i="2"/>
  <c r="M31" i="2"/>
  <c r="K31" i="2"/>
  <c r="O30" i="2"/>
  <c r="M30" i="2"/>
  <c r="K30" i="2"/>
  <c r="O29" i="2"/>
  <c r="M29" i="2"/>
  <c r="K29" i="2"/>
  <c r="O28" i="2"/>
  <c r="M28" i="2"/>
  <c r="K28" i="2"/>
  <c r="O27" i="2"/>
  <c r="M27" i="2"/>
  <c r="K27" i="2"/>
  <c r="O26" i="2"/>
  <c r="M26" i="2"/>
  <c r="K26" i="2"/>
  <c r="O25" i="2"/>
  <c r="M25" i="2"/>
  <c r="K25" i="2"/>
  <c r="O24" i="2"/>
  <c r="M24" i="2"/>
  <c r="K24" i="2"/>
  <c r="O23" i="2"/>
  <c r="M23" i="2"/>
  <c r="K23" i="2"/>
  <c r="O22" i="2"/>
  <c r="M22" i="2"/>
  <c r="K22" i="2"/>
  <c r="O21" i="2"/>
  <c r="M21" i="2"/>
  <c r="K21" i="2"/>
  <c r="O20" i="2"/>
  <c r="M20" i="2"/>
  <c r="K20" i="2"/>
  <c r="O19" i="2"/>
  <c r="M19" i="2"/>
  <c r="K19" i="2"/>
</calcChain>
</file>

<file path=xl/sharedStrings.xml><?xml version="1.0" encoding="utf-8"?>
<sst xmlns="http://schemas.openxmlformats.org/spreadsheetml/2006/main" count="173" uniqueCount="48">
  <si>
    <r>
      <rPr>
        <b/>
        <sz val="10"/>
        <color theme="1"/>
        <rFont val="宋体"/>
        <family val="3"/>
        <charset val="134"/>
      </rPr>
      <t>政策适配性：</t>
    </r>
    <r>
      <rPr>
        <sz val="10"/>
        <color theme="1"/>
        <rFont val="宋体"/>
        <family val="3"/>
        <charset val="134"/>
      </rPr>
      <t>行业政策对本地化采购的强制性要求，如果存在强制性要求标为</t>
    </r>
    <r>
      <rPr>
        <sz val="10"/>
        <color theme="1"/>
        <rFont val="Arial"/>
        <family val="2"/>
      </rPr>
      <t>1</t>
    </r>
    <r>
      <rPr>
        <sz val="10"/>
        <color theme="1"/>
        <rFont val="宋体"/>
        <family val="3"/>
        <charset val="134"/>
      </rPr>
      <t>，没有要求标为</t>
    </r>
    <r>
      <rPr>
        <sz val="10"/>
        <color theme="1"/>
        <rFont val="Arial"/>
        <family val="2"/>
      </rPr>
      <t>0</t>
    </r>
  </si>
  <si>
    <r>
      <rPr>
        <b/>
        <sz val="10"/>
        <color theme="1"/>
        <rFont val="宋体"/>
        <family val="3"/>
        <charset val="134"/>
      </rPr>
      <t>上级意愿：</t>
    </r>
    <r>
      <rPr>
        <sz val="10"/>
        <color theme="1"/>
        <rFont val="宋体"/>
        <family val="3"/>
        <charset val="134"/>
      </rPr>
      <t>上级对该产品有着明显的本地化意愿标为</t>
    </r>
    <r>
      <rPr>
        <sz val="10"/>
        <color theme="1"/>
        <rFont val="Arial"/>
        <family val="2"/>
      </rPr>
      <t>1</t>
    </r>
    <r>
      <rPr>
        <sz val="10"/>
        <color theme="1"/>
        <rFont val="宋体"/>
        <family val="3"/>
        <charset val="134"/>
      </rPr>
      <t>，没有标记为</t>
    </r>
    <r>
      <rPr>
        <sz val="10"/>
        <color theme="1"/>
        <rFont val="Arial"/>
        <family val="2"/>
      </rPr>
      <t>0</t>
    </r>
  </si>
  <si>
    <r>
      <rPr>
        <sz val="10"/>
        <color theme="1"/>
        <rFont val="宋体"/>
        <family val="3"/>
        <charset val="134"/>
      </rPr>
      <t>采购端时效差异：全球采购的</t>
    </r>
    <r>
      <rPr>
        <sz val="10"/>
        <color theme="1"/>
        <rFont val="Arial"/>
        <family val="2"/>
      </rPr>
      <t xml:space="preserve"> “</t>
    </r>
    <r>
      <rPr>
        <sz val="10"/>
        <color theme="1"/>
        <rFont val="宋体"/>
        <family val="3"/>
        <charset val="134"/>
      </rPr>
      <t>全球供应商→越南工厂</t>
    </r>
    <r>
      <rPr>
        <sz val="10"/>
        <color theme="1"/>
        <rFont val="Arial"/>
        <family val="2"/>
      </rPr>
      <t>”</t>
    </r>
    <r>
      <rPr>
        <sz val="10"/>
        <color theme="1"/>
        <rFont val="宋体"/>
        <family val="3"/>
        <charset val="134"/>
      </rPr>
      <t>采购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运输的总时间与越南采购</t>
    </r>
    <r>
      <rPr>
        <sz val="10"/>
        <color theme="1"/>
        <rFont val="Arial"/>
        <family val="2"/>
      </rPr>
      <t>“</t>
    </r>
    <r>
      <rPr>
        <sz val="10"/>
        <color theme="1"/>
        <rFont val="宋体"/>
        <family val="3"/>
        <charset val="134"/>
      </rPr>
      <t>越南供应商→越南工厂</t>
    </r>
    <r>
      <rPr>
        <sz val="10"/>
        <color theme="1"/>
        <rFont val="Arial"/>
        <family val="2"/>
      </rPr>
      <t>”</t>
    </r>
    <r>
      <rPr>
        <sz val="10"/>
        <color theme="1"/>
        <rFont val="宋体"/>
        <family val="3"/>
        <charset val="134"/>
      </rPr>
      <t>的的总运输时间的差值（全球采购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>本地）下同除以合肥采购的总运输时间。目前是</t>
    </r>
    <r>
      <rPr>
        <sz val="10"/>
        <color theme="1"/>
        <rFont val="Arial"/>
        <family val="2"/>
      </rPr>
      <t>CKD</t>
    </r>
    <r>
      <rPr>
        <sz val="10"/>
        <color theme="1"/>
        <rFont val="宋体"/>
        <family val="3"/>
        <charset val="134"/>
      </rPr>
      <t>时间</t>
    </r>
  </si>
  <si>
    <r>
      <rPr>
        <sz val="10"/>
        <color theme="1"/>
        <rFont val="Arial"/>
        <family val="2"/>
      </rPr>
      <t>JIT</t>
    </r>
    <r>
      <rPr>
        <sz val="10"/>
        <color theme="1"/>
        <rFont val="宋体"/>
        <family val="3"/>
        <charset val="134"/>
      </rPr>
      <t>需求：补货及时性，需要立刻补货的认为是</t>
    </r>
    <r>
      <rPr>
        <sz val="10"/>
        <color theme="1"/>
        <rFont val="Arial"/>
        <family val="2"/>
      </rPr>
      <t>1</t>
    </r>
    <r>
      <rPr>
        <sz val="10"/>
        <color theme="1"/>
        <rFont val="宋体"/>
        <family val="3"/>
        <charset val="134"/>
      </rPr>
      <t>，否则为</t>
    </r>
    <r>
      <rPr>
        <sz val="10"/>
        <color theme="1"/>
        <rFont val="Arial"/>
        <family val="2"/>
      </rPr>
      <t>0</t>
    </r>
  </si>
  <si>
    <r>
      <rPr>
        <sz val="10"/>
        <color rgb="FF0000FF"/>
        <rFont val="宋体"/>
        <family val="3"/>
        <charset val="134"/>
      </rPr>
      <t>资源基础成熟度：企业采购物料中，由本地产能供应的比例。</t>
    </r>
    <r>
      <rPr>
        <sz val="10"/>
        <color rgb="FF0000FF"/>
        <rFont val="Arial"/>
        <family val="2"/>
      </rPr>
      <t>=</t>
    </r>
    <r>
      <rPr>
        <sz val="10"/>
        <color rgb="FF0000FF"/>
        <rFont val="宋体"/>
        <family val="3"/>
        <charset val="134"/>
      </rPr>
      <t>当地合格供应商能提供的供货量</t>
    </r>
    <r>
      <rPr>
        <sz val="10"/>
        <color rgb="FF0000FF"/>
        <rFont val="Arial"/>
        <family val="2"/>
      </rPr>
      <t>/</t>
    </r>
    <r>
      <rPr>
        <sz val="10"/>
        <color rgb="FF0000FF"/>
        <rFont val="宋体"/>
        <family val="3"/>
        <charset val="134"/>
      </rPr>
      <t>当地工厂总需求量</t>
    </r>
  </si>
  <si>
    <r>
      <rPr>
        <sz val="10"/>
        <color rgb="FF0000FF"/>
        <rFont val="宋体"/>
        <family val="3"/>
        <charset val="134"/>
      </rPr>
      <t>供应商生态成熟度比例：上游制程成熟度，百分比。如三家供应商，两家所有制程当地有，其中一家只有</t>
    </r>
    <r>
      <rPr>
        <sz val="10"/>
        <color rgb="FF0000FF"/>
        <rFont val="Arial"/>
        <family val="2"/>
      </rPr>
      <t>0.5,=2.5/3</t>
    </r>
    <r>
      <rPr>
        <sz val="10"/>
        <color rgb="FF0000FF"/>
        <rFont val="宋体"/>
        <family val="3"/>
        <charset val="134"/>
      </rPr>
      <t>的百分比</t>
    </r>
  </si>
  <si>
    <r>
      <rPr>
        <sz val="10"/>
        <color theme="1"/>
        <rFont val="宋体"/>
        <family val="3"/>
        <charset val="134"/>
      </rPr>
      <t>供应商数量：本地符合企业采购标准（资质、产能、质量）的供应商数量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</si>
  <si>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3"/>
        <charset val="134"/>
      </rPr>
      <t>采购端成本差异</t>
    </r>
    <r>
      <rPr>
        <sz val="10"/>
        <color theme="1"/>
        <rFont val="Arial"/>
        <family val="2"/>
      </rPr>
      <t xml:space="preserve"> = </t>
    </r>
    <r>
      <rPr>
        <sz val="10"/>
        <color theme="1"/>
        <rFont val="宋体"/>
        <family val="3"/>
        <charset val="134"/>
      </rPr>
      <t>（全球采购成本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>本地采购成本）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>全球采购成本</t>
    </r>
  </si>
  <si>
    <r>
      <rPr>
        <sz val="10"/>
        <color theme="1"/>
        <rFont val="Arial"/>
        <family val="2"/>
      </rPr>
      <t xml:space="preserve">Assumption: </t>
    </r>
    <r>
      <rPr>
        <sz val="10"/>
        <color theme="1"/>
        <rFont val="宋体"/>
        <family val="3"/>
        <charset val="134"/>
      </rPr>
      <t>地缘政治造成的大陆与</t>
    </r>
    <r>
      <rPr>
        <sz val="10"/>
        <color theme="1"/>
        <rFont val="Arial"/>
        <family val="2"/>
      </rPr>
      <t>VN</t>
    </r>
    <r>
      <rPr>
        <sz val="10"/>
        <color theme="1"/>
        <rFont val="宋体"/>
        <family val="3"/>
        <charset val="134"/>
      </rPr>
      <t>出口美国的关税差异</t>
    </r>
    <r>
      <rPr>
        <sz val="10"/>
        <color theme="1"/>
        <rFont val="Arial"/>
        <family val="2"/>
      </rPr>
      <t>20%</t>
    </r>
    <r>
      <rPr>
        <sz val="10"/>
        <color theme="1"/>
        <rFont val="宋体"/>
        <family val="3"/>
        <charset val="134"/>
      </rPr>
      <t>，原材价格差异</t>
    </r>
    <r>
      <rPr>
        <sz val="10"/>
        <color theme="1"/>
        <rFont val="Arial"/>
        <family val="2"/>
      </rPr>
      <t>&lt;=10%</t>
    </r>
    <r>
      <rPr>
        <sz val="10"/>
        <color theme="1"/>
        <rFont val="宋体"/>
        <family val="3"/>
        <charset val="134"/>
      </rPr>
      <t>可以本地采购</t>
    </r>
  </si>
  <si>
    <r>
      <rPr>
        <b/>
        <sz val="11"/>
        <color theme="0"/>
        <rFont val="宋体"/>
        <family val="3"/>
        <charset val="134"/>
      </rPr>
      <t>采购</t>
    </r>
    <r>
      <rPr>
        <b/>
        <sz val="11"/>
        <color theme="0"/>
        <rFont val="Arial"/>
        <family val="2"/>
      </rPr>
      <t>Tower</t>
    </r>
  </si>
  <si>
    <r>
      <rPr>
        <b/>
        <sz val="11"/>
        <color theme="0"/>
        <rFont val="宋体"/>
        <family val="3"/>
        <charset val="134"/>
      </rPr>
      <t>责任人</t>
    </r>
  </si>
  <si>
    <r>
      <rPr>
        <b/>
        <sz val="11"/>
        <color theme="0"/>
        <rFont val="宋体"/>
        <family val="3"/>
        <charset val="134"/>
      </rPr>
      <t>物料类别</t>
    </r>
  </si>
  <si>
    <r>
      <rPr>
        <b/>
        <sz val="11"/>
        <color theme="0"/>
        <rFont val="宋体"/>
        <family val="3"/>
        <charset val="134"/>
      </rPr>
      <t>战略重要性</t>
    </r>
  </si>
  <si>
    <r>
      <rPr>
        <b/>
        <sz val="11"/>
        <color theme="0"/>
        <rFont val="宋体"/>
        <family val="3"/>
        <charset val="134"/>
      </rPr>
      <t>供应时效性</t>
    </r>
  </si>
  <si>
    <r>
      <rPr>
        <b/>
        <sz val="11"/>
        <color theme="0"/>
        <rFont val="宋体"/>
        <family val="3"/>
        <charset val="134"/>
      </rPr>
      <t>本地供应链成熟度
（</t>
    </r>
    <r>
      <rPr>
        <b/>
        <sz val="11"/>
        <color theme="0"/>
        <rFont val="Arial"/>
        <family val="2"/>
      </rPr>
      <t>0~5</t>
    </r>
    <r>
      <rPr>
        <b/>
        <sz val="11"/>
        <color theme="0"/>
        <rFont val="宋体"/>
        <family val="3"/>
        <charset val="134"/>
      </rPr>
      <t>分）</t>
    </r>
  </si>
  <si>
    <r>
      <rPr>
        <b/>
        <sz val="11"/>
        <color theme="0"/>
        <rFont val="宋体"/>
        <family val="3"/>
        <charset val="134"/>
      </rPr>
      <t>采购端成本差异</t>
    </r>
  </si>
  <si>
    <r>
      <rPr>
        <b/>
        <sz val="11"/>
        <color theme="0"/>
        <rFont val="宋体"/>
        <family val="3"/>
        <charset val="134"/>
      </rPr>
      <t>全球采购总成本（</t>
    </r>
    <r>
      <rPr>
        <b/>
        <sz val="11"/>
        <color theme="0"/>
        <rFont val="Arial"/>
        <family val="2"/>
      </rPr>
      <t>$/PC)</t>
    </r>
  </si>
  <si>
    <r>
      <rPr>
        <b/>
        <sz val="11"/>
        <color theme="0"/>
        <rFont val="宋体"/>
        <family val="3"/>
        <charset val="134"/>
      </rPr>
      <t>本地采购总成本</t>
    </r>
    <r>
      <rPr>
        <b/>
        <sz val="11"/>
        <color theme="0"/>
        <rFont val="Arial"/>
        <family val="2"/>
      </rPr>
      <t>($/PC)</t>
    </r>
  </si>
  <si>
    <r>
      <rPr>
        <b/>
        <sz val="11"/>
        <color theme="0"/>
        <rFont val="Arial"/>
        <family val="2"/>
      </rPr>
      <t>Local Buy</t>
    </r>
    <r>
      <rPr>
        <b/>
        <sz val="11"/>
        <color theme="0"/>
        <rFont val="宋体"/>
        <family val="3"/>
        <charset val="134"/>
      </rPr>
      <t>决策
（采购评估经验值</t>
    </r>
    <r>
      <rPr>
        <b/>
        <sz val="11"/>
        <color theme="0"/>
        <rFont val="Arial"/>
        <family val="2"/>
      </rPr>
      <t xml:space="preserve"> Y/N</t>
    </r>
    <r>
      <rPr>
        <b/>
        <sz val="11"/>
        <color theme="0"/>
        <rFont val="宋体"/>
        <family val="3"/>
        <charset val="134"/>
      </rPr>
      <t>）</t>
    </r>
  </si>
  <si>
    <r>
      <rPr>
        <b/>
        <sz val="11"/>
        <color theme="0"/>
        <rFont val="宋体"/>
        <family val="3"/>
        <charset val="134"/>
      </rPr>
      <t>政策适配性</t>
    </r>
  </si>
  <si>
    <r>
      <rPr>
        <b/>
        <sz val="11"/>
        <color theme="0"/>
        <rFont val="宋体"/>
        <family val="3"/>
        <charset val="134"/>
      </rPr>
      <t>管理层决策</t>
    </r>
  </si>
  <si>
    <r>
      <rPr>
        <b/>
        <sz val="11"/>
        <color theme="0"/>
        <rFont val="Arial"/>
        <family val="2"/>
      </rPr>
      <t>JIT</t>
    </r>
    <r>
      <rPr>
        <b/>
        <sz val="11"/>
        <color theme="0"/>
        <rFont val="宋体"/>
        <family val="3"/>
        <charset val="134"/>
      </rPr>
      <t>需求</t>
    </r>
  </si>
  <si>
    <r>
      <rPr>
        <b/>
        <sz val="11"/>
        <color theme="0"/>
        <rFont val="宋体"/>
        <family val="3"/>
        <charset val="134"/>
      </rPr>
      <t>采购端时效差异</t>
    </r>
  </si>
  <si>
    <r>
      <rPr>
        <b/>
        <sz val="11"/>
        <color theme="0"/>
        <rFont val="宋体"/>
        <family val="3"/>
        <charset val="134"/>
      </rPr>
      <t>资源基础成熟度</t>
    </r>
  </si>
  <si>
    <r>
      <rPr>
        <b/>
        <sz val="11"/>
        <color theme="0"/>
        <rFont val="宋体"/>
        <family val="3"/>
        <charset val="134"/>
      </rPr>
      <t>供应商生态成熟度</t>
    </r>
  </si>
  <si>
    <t>供应商数量</t>
  </si>
  <si>
    <r>
      <rPr>
        <b/>
        <sz val="11"/>
        <color theme="0"/>
        <rFont val="宋体"/>
        <family val="3"/>
        <charset val="134"/>
      </rPr>
      <t>全球采购物料价格</t>
    </r>
  </si>
  <si>
    <r>
      <rPr>
        <b/>
        <sz val="11"/>
        <color theme="0"/>
        <rFont val="宋体"/>
        <family val="3"/>
        <charset val="134"/>
      </rPr>
      <t>物流</t>
    </r>
    <r>
      <rPr>
        <b/>
        <sz val="11"/>
        <color theme="0"/>
        <rFont val="Arial"/>
        <family val="2"/>
      </rPr>
      <t>CPB</t>
    </r>
    <r>
      <rPr>
        <b/>
        <sz val="11"/>
        <color theme="0"/>
        <rFont val="宋体"/>
        <family val="3"/>
        <charset val="134"/>
      </rPr>
      <t>影响（</t>
    </r>
    <r>
      <rPr>
        <b/>
        <sz val="11"/>
        <color theme="0"/>
        <rFont val="Arial"/>
        <family val="2"/>
      </rPr>
      <t>2nd package+</t>
    </r>
    <r>
      <rPr>
        <b/>
        <sz val="11"/>
        <color theme="0"/>
        <rFont val="宋体"/>
        <family val="3"/>
        <charset val="134"/>
      </rPr>
      <t>运输到货场</t>
    </r>
    <r>
      <rPr>
        <b/>
        <sz val="11"/>
        <color theme="0"/>
        <rFont val="Arial"/>
        <family val="2"/>
      </rPr>
      <t>+</t>
    </r>
    <r>
      <rPr>
        <b/>
        <sz val="11"/>
        <color theme="0"/>
        <rFont val="宋体"/>
        <family val="3"/>
        <charset val="134"/>
      </rPr>
      <t>报关）</t>
    </r>
  </si>
  <si>
    <r>
      <rPr>
        <b/>
        <sz val="11"/>
        <color theme="0"/>
        <rFont val="宋体"/>
        <family val="3"/>
        <charset val="134"/>
      </rPr>
      <t>库存成本</t>
    </r>
  </si>
  <si>
    <r>
      <rPr>
        <b/>
        <sz val="11"/>
        <color theme="0"/>
        <rFont val="宋体"/>
        <family val="3"/>
        <charset val="134"/>
      </rPr>
      <t xml:space="preserve">税损
</t>
    </r>
    <r>
      <rPr>
        <b/>
        <sz val="11"/>
        <color theme="0"/>
        <rFont val="Arial"/>
        <family val="2"/>
      </rPr>
      <t>FCT 1%</t>
    </r>
  </si>
  <si>
    <r>
      <rPr>
        <b/>
        <sz val="11"/>
        <color theme="1"/>
        <rFont val="宋体"/>
        <family val="3"/>
        <charset val="134"/>
      </rPr>
      <t>税损</t>
    </r>
    <r>
      <rPr>
        <b/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宋体"/>
        <family val="3"/>
        <charset val="134"/>
      </rPr>
      <t>其它，因当地设</t>
    </r>
    <r>
      <rPr>
        <b/>
        <sz val="11"/>
        <color theme="1"/>
        <rFont val="Arial"/>
        <family val="2"/>
      </rPr>
      <t>VMI HUB</t>
    </r>
    <r>
      <rPr>
        <b/>
        <sz val="11"/>
        <color theme="1"/>
        <rFont val="宋体"/>
        <family val="3"/>
        <charset val="134"/>
      </rPr>
      <t>中转贸易产生的关税</t>
    </r>
    <r>
      <rPr>
        <b/>
        <sz val="11"/>
        <color theme="1"/>
        <rFont val="Arial"/>
        <family val="2"/>
      </rPr>
      <t>&amp;</t>
    </r>
    <r>
      <rPr>
        <b/>
        <sz val="11"/>
        <color theme="1"/>
        <rFont val="宋体"/>
        <family val="3"/>
        <charset val="134"/>
      </rPr>
      <t>增值税</t>
    </r>
    <r>
      <rPr>
        <b/>
        <sz val="11"/>
        <color theme="1"/>
        <rFont val="Arial"/>
        <family val="2"/>
      </rPr>
      <t>)</t>
    </r>
  </si>
  <si>
    <r>
      <rPr>
        <b/>
        <sz val="11"/>
        <color theme="0"/>
        <rFont val="宋体"/>
        <family val="3"/>
        <charset val="134"/>
      </rPr>
      <t>质量风险</t>
    </r>
  </si>
  <si>
    <r>
      <rPr>
        <sz val="11"/>
        <color rgb="FF0000FF"/>
        <rFont val="宋体"/>
        <family val="3"/>
        <charset val="134"/>
      </rPr>
      <t>本地采购物料价格</t>
    </r>
  </si>
  <si>
    <r>
      <rPr>
        <b/>
        <sz val="11"/>
        <color theme="0"/>
        <rFont val="宋体"/>
        <family val="3"/>
        <charset val="134"/>
      </rPr>
      <t>税损</t>
    </r>
  </si>
  <si>
    <t>预测y值</t>
  </si>
  <si>
    <t>y=1的概率</t>
  </si>
  <si>
    <t>ACC</t>
  </si>
  <si>
    <t>WeiWei</t>
  </si>
  <si>
    <t>Carton</t>
  </si>
  <si>
    <t>Y</t>
  </si>
  <si>
    <t>Paper Pad</t>
  </si>
  <si>
    <r>
      <rPr>
        <sz val="11"/>
        <color theme="1"/>
        <rFont val="Arial"/>
        <family val="2"/>
      </rPr>
      <t>cushion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宋体"/>
        <family val="3"/>
        <charset val="134"/>
      </rPr>
      <t>纸塑）</t>
    </r>
  </si>
  <si>
    <r>
      <rPr>
        <sz val="11"/>
        <color theme="1"/>
        <rFont val="Arial"/>
        <family val="2"/>
      </rPr>
      <t>cushion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Arial"/>
        <family val="2"/>
      </rPr>
      <t>EPE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</si>
  <si>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袋子（去塑化</t>
    </r>
    <r>
      <rPr>
        <sz val="11"/>
        <color theme="1"/>
        <rFont val="Arial"/>
        <family val="2"/>
      </rPr>
      <t>)</t>
    </r>
  </si>
  <si>
    <r>
      <rPr>
        <sz val="10"/>
        <color rgb="FF0000FF"/>
        <rFont val="宋体"/>
        <family val="3"/>
        <charset val="134"/>
      </rPr>
      <t>本地制造不</t>
    </r>
    <r>
      <rPr>
        <sz val="10"/>
        <color rgb="FF0000FF"/>
        <rFont val="Arial"/>
        <family val="2"/>
      </rPr>
      <t>ready</t>
    </r>
  </si>
  <si>
    <r>
      <rPr>
        <sz val="11"/>
        <color theme="1"/>
        <rFont val="宋体"/>
        <family val="3"/>
        <charset val="134"/>
      </rPr>
      <t>袋子（其它</t>
    </r>
    <r>
      <rPr>
        <sz val="11"/>
        <color theme="1"/>
        <rFont val="Arial"/>
        <family val="2"/>
      </rPr>
      <t>PE</t>
    </r>
    <r>
      <rPr>
        <sz val="11"/>
        <color theme="1"/>
        <rFont val="宋体"/>
        <family val="3"/>
        <charset val="134"/>
      </rPr>
      <t>袋）</t>
    </r>
  </si>
  <si>
    <t>袋子（防静电）</t>
  </si>
  <si>
    <t>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</si>
</sst>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00_);[Red]\(0.0000\)"/>
  </numFmts>
  <fonts count="19" x14ac:knownFonts="1">
    <font>
      <sz val="11"/>
      <color theme="1"/>
      <name val="宋体"/>
      <charset val="134"/>
      <scheme val="minor"/>
    </font>
    <font>
      <sz val="10"/>
      <color rgb="FF0000FF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宋体"/>
      <family val="3"/>
      <charset val="134"/>
    </font>
    <font>
      <b/>
      <sz val="11"/>
      <color theme="1"/>
      <name val="Arial"/>
      <family val="2"/>
    </font>
    <font>
      <sz val="11"/>
      <color rgb="FF0000FF"/>
      <name val="Arial"/>
      <family val="2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FF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0" borderId="0" xfId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178" fontId="4" fillId="6" borderId="4" xfId="0" applyNumberFormat="1" applyFont="1" applyFill="1" applyBorder="1" applyAlignment="1">
      <alignment horizontal="center" vertical="center" wrapText="1"/>
    </xf>
    <xf numFmtId="178" fontId="4" fillId="6" borderId="2" xfId="0" applyNumberFormat="1" applyFont="1" applyFill="1" applyBorder="1" applyAlignment="1">
      <alignment horizontal="center" vertical="center" wrapText="1"/>
    </xf>
    <xf numFmtId="178" fontId="6" fillId="7" borderId="2" xfId="0" applyNumberFormat="1" applyFont="1" applyFill="1" applyBorder="1" applyAlignment="1">
      <alignment horizontal="center" vertical="center" wrapText="1"/>
    </xf>
    <xf numFmtId="178" fontId="7" fillId="6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/>
    </xf>
    <xf numFmtId="9" fontId="2" fillId="2" borderId="0" xfId="1" applyFont="1" applyFill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8" fontId="7" fillId="2" borderId="0" xfId="0" applyNumberFormat="1" applyFont="1" applyFill="1" applyAlignment="1">
      <alignment horizontal="center" vertical="center"/>
    </xf>
    <xf numFmtId="0" fontId="9" fillId="0" borderId="0" xfId="0" applyFont="1" applyAlignment="1"/>
    <xf numFmtId="0" fontId="10" fillId="0" borderId="0" xfId="0" applyFont="1">
      <alignment vertical="center"/>
    </xf>
    <xf numFmtId="0" fontId="7" fillId="2" borderId="0" xfId="0" applyFont="1" applyFill="1">
      <alignment vertical="center"/>
    </xf>
    <xf numFmtId="0" fontId="7" fillId="0" borderId="0" xfId="0" applyFont="1">
      <alignment vertical="center"/>
    </xf>
    <xf numFmtId="0" fontId="7" fillId="2" borderId="0" xfId="0" applyFont="1" applyFill="1" applyAlignment="1">
      <alignment horizontal="center" vertical="center"/>
    </xf>
    <xf numFmtId="9" fontId="7" fillId="2" borderId="0" xfId="0" applyNumberFormat="1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9" fontId="4" fillId="5" borderId="5" xfId="1" applyFont="1" applyFill="1" applyBorder="1" applyAlignment="1">
      <alignment horizontal="center" vertical="center" wrapText="1"/>
    </xf>
    <xf numFmtId="9" fontId="4" fillId="5" borderId="8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62"/>
  <sheetViews>
    <sheetView showGridLines="0" tabSelected="1" topLeftCell="O44" zoomScale="81" zoomScaleNormal="81" workbookViewId="0">
      <selection activeCell="AC62" sqref="AC62"/>
    </sheetView>
  </sheetViews>
  <sheetFormatPr defaultColWidth="9" defaultRowHeight="12.75" x14ac:dyDescent="0.3"/>
  <cols>
    <col min="1" max="2" width="7.46484375" style="4" customWidth="1"/>
    <col min="3" max="3" width="10.265625" style="4" customWidth="1"/>
    <col min="4" max="5" width="12.46484375" style="5" customWidth="1"/>
    <col min="6" max="6" width="7.33203125" style="5" customWidth="1"/>
    <col min="7" max="7" width="9.9296875" style="5" customWidth="1"/>
    <col min="8" max="8" width="10.06640625" style="5" customWidth="1"/>
    <col min="9" max="9" width="11.33203125" style="5" customWidth="1"/>
    <col min="10" max="10" width="7.9296875" style="5" customWidth="1"/>
    <col min="11" max="11" width="11.46484375" style="6" customWidth="1"/>
    <col min="12" max="12" width="14.265625" style="7" customWidth="1"/>
    <col min="13" max="13" width="20.53125" style="7" customWidth="1"/>
    <col min="14" max="14" width="9" style="5" customWidth="1"/>
    <col min="15" max="15" width="12.46484375" style="7" customWidth="1"/>
    <col min="16" max="16" width="24.73046875" style="7" customWidth="1"/>
    <col min="17" max="17" width="9" style="8" customWidth="1"/>
    <col min="18" max="18" width="14.6640625" style="9" customWidth="1"/>
    <col min="19" max="22" width="9" style="5" customWidth="1"/>
    <col min="23" max="23" width="15.46484375" style="5" customWidth="1"/>
    <col min="24" max="16384" width="9" style="4"/>
  </cols>
  <sheetData>
    <row r="1" spans="1:23" ht="15.5" customHeight="1" x14ac:dyDescent="0.3">
      <c r="A1" s="4" t="s">
        <v>0</v>
      </c>
    </row>
    <row r="2" spans="1:23" ht="15.5" customHeight="1" x14ac:dyDescent="0.3">
      <c r="A2" s="4" t="s">
        <v>1</v>
      </c>
    </row>
    <row r="3" spans="1:23" ht="15.5" customHeight="1" x14ac:dyDescent="0.3"/>
    <row r="4" spans="1:23" ht="15.5" customHeight="1" x14ac:dyDescent="0.3">
      <c r="A4" s="4" t="s">
        <v>2</v>
      </c>
    </row>
    <row r="5" spans="1:23" ht="15.5" customHeight="1" x14ac:dyDescent="0.3">
      <c r="A5" s="4" t="s">
        <v>3</v>
      </c>
    </row>
    <row r="6" spans="1:23" ht="15.5" customHeight="1" x14ac:dyDescent="0.3"/>
    <row r="7" spans="1:23" s="1" customFormat="1" ht="15.5" customHeight="1" x14ac:dyDescent="0.3">
      <c r="A7" s="1" t="s">
        <v>4</v>
      </c>
      <c r="D7" s="10"/>
      <c r="E7" s="10"/>
      <c r="F7" s="10"/>
      <c r="G7" s="10"/>
      <c r="H7" s="10"/>
      <c r="I7" s="10"/>
      <c r="J7" s="10"/>
      <c r="K7" s="11"/>
      <c r="L7" s="9"/>
      <c r="M7" s="9"/>
      <c r="N7" s="10"/>
      <c r="O7" s="9"/>
      <c r="P7" s="9"/>
      <c r="Q7" s="12"/>
      <c r="R7" s="9"/>
      <c r="S7" s="10"/>
      <c r="T7" s="10"/>
      <c r="U7" s="10"/>
      <c r="V7" s="10"/>
      <c r="W7" s="10"/>
    </row>
    <row r="8" spans="1:23" s="1" customFormat="1" ht="15.5" customHeight="1" x14ac:dyDescent="0.3">
      <c r="A8" s="1" t="s">
        <v>5</v>
      </c>
      <c r="D8" s="10"/>
      <c r="E8" s="10"/>
      <c r="F8" s="10"/>
      <c r="G8" s="10"/>
      <c r="H8" s="10"/>
      <c r="I8" s="10"/>
      <c r="J8" s="10"/>
      <c r="K8" s="11"/>
      <c r="L8" s="9"/>
      <c r="M8" s="9"/>
      <c r="N8" s="10"/>
      <c r="O8" s="9"/>
      <c r="P8" s="9"/>
      <c r="Q8" s="12"/>
      <c r="R8" s="9"/>
      <c r="S8" s="10"/>
      <c r="T8" s="10"/>
      <c r="U8" s="10"/>
      <c r="V8" s="10"/>
      <c r="W8" s="10"/>
    </row>
    <row r="9" spans="1:23" ht="15.5" customHeight="1" x14ac:dyDescent="0.3">
      <c r="A9" s="4" t="s">
        <v>6</v>
      </c>
    </row>
    <row r="10" spans="1:23" ht="15.5" customHeight="1" x14ac:dyDescent="0.3"/>
    <row r="11" spans="1:23" ht="15.5" customHeight="1" x14ac:dyDescent="0.3">
      <c r="A11" s="4" t="s">
        <v>7</v>
      </c>
    </row>
    <row r="12" spans="1:23" ht="15.5" customHeight="1" x14ac:dyDescent="0.3"/>
    <row r="13" spans="1:23" ht="15.5" customHeight="1" x14ac:dyDescent="0.3">
      <c r="A13" s="4" t="s">
        <v>8</v>
      </c>
    </row>
    <row r="14" spans="1:23" ht="15.5" customHeight="1" x14ac:dyDescent="0.3"/>
    <row r="15" spans="1:23" ht="15.5" customHeight="1" x14ac:dyDescent="0.3"/>
    <row r="16" spans="1:23" ht="15.5" customHeight="1" x14ac:dyDescent="0.3"/>
    <row r="17" spans="1:25" s="2" customFormat="1" ht="13.9" x14ac:dyDescent="0.3">
      <c r="A17" s="44" t="s">
        <v>9</v>
      </c>
      <c r="B17" s="44" t="s">
        <v>10</v>
      </c>
      <c r="C17" s="45" t="s">
        <v>11</v>
      </c>
      <c r="D17" s="37" t="s">
        <v>12</v>
      </c>
      <c r="E17" s="38"/>
      <c r="F17" s="39" t="s">
        <v>13</v>
      </c>
      <c r="G17" s="39"/>
      <c r="H17" s="39" t="s">
        <v>14</v>
      </c>
      <c r="I17" s="39"/>
      <c r="J17" s="39"/>
      <c r="K17" s="46" t="s">
        <v>15</v>
      </c>
      <c r="L17" s="40" t="s">
        <v>16</v>
      </c>
      <c r="M17" s="41"/>
      <c r="N17" s="41"/>
      <c r="O17" s="41"/>
      <c r="P17" s="41"/>
      <c r="Q17" s="41"/>
      <c r="R17" s="42" t="s">
        <v>17</v>
      </c>
      <c r="S17" s="42"/>
      <c r="T17" s="42"/>
      <c r="U17" s="42"/>
      <c r="V17" s="43"/>
      <c r="W17" s="48" t="s">
        <v>18</v>
      </c>
    </row>
    <row r="18" spans="1:25" s="2" customFormat="1" ht="45" customHeight="1" x14ac:dyDescent="0.3">
      <c r="A18" s="44"/>
      <c r="B18" s="44"/>
      <c r="C18" s="45"/>
      <c r="D18" s="14" t="s">
        <v>19</v>
      </c>
      <c r="E18" s="14" t="s">
        <v>20</v>
      </c>
      <c r="F18" s="15" t="s">
        <v>21</v>
      </c>
      <c r="G18" s="16" t="s">
        <v>22</v>
      </c>
      <c r="H18" s="17" t="s">
        <v>23</v>
      </c>
      <c r="I18" s="18" t="s">
        <v>24</v>
      </c>
      <c r="J18" s="19" t="s">
        <v>25</v>
      </c>
      <c r="K18" s="47"/>
      <c r="L18" s="20" t="s">
        <v>26</v>
      </c>
      <c r="M18" s="21" t="s">
        <v>27</v>
      </c>
      <c r="N18" s="13" t="s">
        <v>28</v>
      </c>
      <c r="O18" s="21" t="s">
        <v>29</v>
      </c>
      <c r="P18" s="22" t="s">
        <v>30</v>
      </c>
      <c r="Q18" s="13" t="s">
        <v>31</v>
      </c>
      <c r="R18" s="23" t="s">
        <v>32</v>
      </c>
      <c r="S18" s="13" t="s">
        <v>27</v>
      </c>
      <c r="T18" s="13" t="s">
        <v>28</v>
      </c>
      <c r="U18" s="13" t="s">
        <v>33</v>
      </c>
      <c r="V18" s="13" t="s">
        <v>31</v>
      </c>
      <c r="W18" s="44"/>
      <c r="X18" s="24" t="s">
        <v>34</v>
      </c>
      <c r="Y18" s="24" t="s">
        <v>35</v>
      </c>
    </row>
    <row r="19" spans="1:25" s="3" customFormat="1" ht="18.5" customHeight="1" x14ac:dyDescent="0.3">
      <c r="A19" s="3" t="s">
        <v>36</v>
      </c>
      <c r="B19" s="3" t="s">
        <v>37</v>
      </c>
      <c r="C19" s="3" t="s">
        <v>38</v>
      </c>
      <c r="D19" s="25"/>
      <c r="E19" s="25"/>
      <c r="F19" s="25">
        <v>1</v>
      </c>
      <c r="G19" s="25">
        <v>7</v>
      </c>
      <c r="H19" s="26">
        <v>1</v>
      </c>
      <c r="I19" s="26">
        <v>1</v>
      </c>
      <c r="J19" s="25">
        <v>3</v>
      </c>
      <c r="K19" s="27">
        <f>(SUM(L19:Q19)-SUM(R19:V19))/SUM(L19:Q19)</f>
        <v>0.35666250907365199</v>
      </c>
      <c r="L19" s="28">
        <v>0.64215608465608498</v>
      </c>
      <c r="M19" s="28">
        <f>0.03+25000/30/720/7</f>
        <v>0.19534391534391499</v>
      </c>
      <c r="N19" s="25"/>
      <c r="O19" s="28">
        <f t="shared" ref="O19:O62" si="0">(L19+M19)*0.01</f>
        <v>8.3750000000000005E-3</v>
      </c>
      <c r="P19" s="28">
        <v>0.246086855026455</v>
      </c>
      <c r="Q19" s="29"/>
      <c r="R19" s="30">
        <v>0.70250000000000001</v>
      </c>
      <c r="S19" s="25"/>
      <c r="T19" s="25"/>
      <c r="U19" s="25"/>
      <c r="V19" s="25"/>
      <c r="W19" s="25" t="s">
        <v>39</v>
      </c>
      <c r="X19" s="31">
        <v>1</v>
      </c>
      <c r="Y19" s="31">
        <v>0.88700000000000001</v>
      </c>
    </row>
    <row r="20" spans="1:25" s="3" customFormat="1" ht="18.5" customHeight="1" x14ac:dyDescent="0.3">
      <c r="A20" s="3" t="s">
        <v>36</v>
      </c>
      <c r="B20" s="3" t="s">
        <v>37</v>
      </c>
      <c r="C20" s="3" t="s">
        <v>38</v>
      </c>
      <c r="D20" s="25"/>
      <c r="E20" s="25"/>
      <c r="F20" s="25">
        <v>1</v>
      </c>
      <c r="G20" s="25">
        <v>7</v>
      </c>
      <c r="H20" s="26">
        <v>1</v>
      </c>
      <c r="I20" s="26">
        <v>1</v>
      </c>
      <c r="J20" s="25">
        <v>3</v>
      </c>
      <c r="K20" s="27">
        <f t="shared" ref="K20:K62" si="1">(SUM(L20:Q20)-SUM(R20:V20))/SUM(L20:Q20)</f>
        <v>0.350385893812795</v>
      </c>
      <c r="L20" s="28">
        <v>0.6421</v>
      </c>
      <c r="M20" s="28">
        <f>0.0252+25000/30/720/7</f>
        <v>0.19054391534391499</v>
      </c>
      <c r="N20" s="25"/>
      <c r="O20" s="28">
        <f t="shared" si="0"/>
        <v>8.32643915343915E-3</v>
      </c>
      <c r="P20" s="28">
        <v>0.24398145502645499</v>
      </c>
      <c r="Q20" s="29"/>
      <c r="R20" s="30">
        <v>0.70479999999999998</v>
      </c>
      <c r="S20" s="25"/>
      <c r="T20" s="25"/>
      <c r="U20" s="25"/>
      <c r="V20" s="25"/>
      <c r="W20" s="25"/>
      <c r="X20" s="31">
        <v>1</v>
      </c>
      <c r="Y20" s="31">
        <v>0.88619999999999999</v>
      </c>
    </row>
    <row r="21" spans="1:25" s="3" customFormat="1" ht="18.5" customHeight="1" x14ac:dyDescent="0.3">
      <c r="A21" s="3" t="s">
        <v>36</v>
      </c>
      <c r="B21" s="3" t="s">
        <v>37</v>
      </c>
      <c r="C21" s="3" t="s">
        <v>38</v>
      </c>
      <c r="D21" s="25"/>
      <c r="E21" s="25"/>
      <c r="F21" s="25">
        <v>1</v>
      </c>
      <c r="G21" s="25">
        <v>7</v>
      </c>
      <c r="H21" s="26">
        <v>1</v>
      </c>
      <c r="I21" s="26">
        <v>1</v>
      </c>
      <c r="J21" s="25">
        <v>3</v>
      </c>
      <c r="K21" s="27">
        <f t="shared" si="1"/>
        <v>0.32766331023761702</v>
      </c>
      <c r="L21" s="28">
        <v>0.73850000000000005</v>
      </c>
      <c r="M21" s="28">
        <f>0.0254+25000/30/720/7</f>
        <v>0.19074391534391499</v>
      </c>
      <c r="N21" s="25"/>
      <c r="O21" s="28">
        <f t="shared" si="0"/>
        <v>9.2924391534391498E-3</v>
      </c>
      <c r="P21" s="28">
        <v>0.26740705502645501</v>
      </c>
      <c r="Q21" s="29"/>
      <c r="R21" s="30">
        <v>0.81079999999999997</v>
      </c>
      <c r="S21" s="25"/>
      <c r="T21" s="25"/>
      <c r="U21" s="25"/>
      <c r="V21" s="25"/>
      <c r="W21" s="25"/>
      <c r="X21" s="31">
        <v>1</v>
      </c>
      <c r="Y21" s="31">
        <v>0.8831</v>
      </c>
    </row>
    <row r="22" spans="1:25" s="3" customFormat="1" ht="18.5" customHeight="1" x14ac:dyDescent="0.3">
      <c r="A22" s="3" t="s">
        <v>36</v>
      </c>
      <c r="B22" s="3" t="s">
        <v>37</v>
      </c>
      <c r="C22" s="3" t="s">
        <v>38</v>
      </c>
      <c r="D22" s="25"/>
      <c r="E22" s="25"/>
      <c r="F22" s="25">
        <v>1</v>
      </c>
      <c r="G22" s="25">
        <v>7</v>
      </c>
      <c r="H22" s="26">
        <v>1</v>
      </c>
      <c r="I22" s="26">
        <v>1</v>
      </c>
      <c r="J22" s="25">
        <v>3</v>
      </c>
      <c r="K22" s="27">
        <f t="shared" si="1"/>
        <v>0.42181748107760703</v>
      </c>
      <c r="L22" s="28">
        <v>1.2607999999999999</v>
      </c>
      <c r="M22" s="28">
        <f>0.0735+25000/30/250/7</f>
        <v>0.54969047619047595</v>
      </c>
      <c r="N22" s="25"/>
      <c r="O22" s="28">
        <f t="shared" si="0"/>
        <v>1.8104904761904801E-2</v>
      </c>
      <c r="P22" s="28">
        <v>0.56753379047619001</v>
      </c>
      <c r="Q22" s="29"/>
      <c r="R22" s="30">
        <v>1.3854</v>
      </c>
      <c r="S22" s="25"/>
      <c r="T22" s="25"/>
      <c r="U22" s="25"/>
      <c r="V22" s="25"/>
      <c r="W22" s="25"/>
      <c r="X22" s="31">
        <v>1</v>
      </c>
      <c r="Y22" s="31">
        <v>0.89539999999999997</v>
      </c>
    </row>
    <row r="23" spans="1:25" s="3" customFormat="1" ht="18.5" customHeight="1" x14ac:dyDescent="0.3">
      <c r="A23" s="3" t="s">
        <v>36</v>
      </c>
      <c r="B23" s="3" t="s">
        <v>37</v>
      </c>
      <c r="C23" s="3" t="s">
        <v>38</v>
      </c>
      <c r="D23" s="25"/>
      <c r="E23" s="25"/>
      <c r="F23" s="25">
        <v>1</v>
      </c>
      <c r="G23" s="25">
        <v>7</v>
      </c>
      <c r="H23" s="26">
        <v>1</v>
      </c>
      <c r="I23" s="26">
        <v>1</v>
      </c>
      <c r="J23" s="25">
        <v>3</v>
      </c>
      <c r="K23" s="27">
        <f t="shared" si="1"/>
        <v>0.43008381161439102</v>
      </c>
      <c r="L23" s="28">
        <v>1.1912</v>
      </c>
      <c r="M23" s="28">
        <f>0.0651251999999998+25000/30/250/7</f>
        <v>0.54131567619047605</v>
      </c>
      <c r="N23" s="25"/>
      <c r="O23" s="28">
        <f t="shared" si="0"/>
        <v>1.7325156761904801E-2</v>
      </c>
      <c r="P23" s="28">
        <v>0.54663718727619004</v>
      </c>
      <c r="Q23" s="29"/>
      <c r="R23" s="30">
        <v>1.3088</v>
      </c>
      <c r="S23" s="25"/>
      <c r="T23" s="25"/>
      <c r="U23" s="25"/>
      <c r="V23" s="25"/>
      <c r="W23" s="25"/>
      <c r="X23" s="31">
        <v>1</v>
      </c>
      <c r="Y23" s="31">
        <v>0.89639999999999997</v>
      </c>
    </row>
    <row r="24" spans="1:25" s="3" customFormat="1" ht="18.5" customHeight="1" x14ac:dyDescent="0.3">
      <c r="A24" s="3" t="s">
        <v>36</v>
      </c>
      <c r="B24" s="3" t="s">
        <v>37</v>
      </c>
      <c r="C24" s="3" t="s">
        <v>38</v>
      </c>
      <c r="D24" s="25"/>
      <c r="E24" s="25"/>
      <c r="F24" s="25">
        <v>1</v>
      </c>
      <c r="G24" s="25">
        <v>7</v>
      </c>
      <c r="H24" s="26">
        <v>1</v>
      </c>
      <c r="I24" s="26">
        <v>1</v>
      </c>
      <c r="J24" s="25">
        <v>3</v>
      </c>
      <c r="K24" s="27">
        <f t="shared" si="1"/>
        <v>0.31336200010183402</v>
      </c>
      <c r="L24" s="28">
        <v>0.8105</v>
      </c>
      <c r="M24" s="28">
        <f>0.0254556944444445+25000/30/720/7</f>
        <v>0.19079960978836</v>
      </c>
      <c r="N24" s="25"/>
      <c r="O24" s="28">
        <f t="shared" si="0"/>
        <v>1.00129960978836E-2</v>
      </c>
      <c r="P24" s="28">
        <v>0.28485801113756598</v>
      </c>
      <c r="Q24" s="29"/>
      <c r="R24" s="30">
        <v>0.89</v>
      </c>
      <c r="S24" s="25"/>
      <c r="T24" s="25"/>
      <c r="U24" s="25"/>
      <c r="V24" s="25"/>
      <c r="W24" s="25"/>
      <c r="X24" s="31">
        <v>1</v>
      </c>
      <c r="Y24" s="31">
        <v>0.88109999999999999</v>
      </c>
    </row>
    <row r="25" spans="1:25" s="3" customFormat="1" ht="18.5" customHeight="1" x14ac:dyDescent="0.3">
      <c r="A25" s="3" t="s">
        <v>36</v>
      </c>
      <c r="B25" s="3" t="s">
        <v>37</v>
      </c>
      <c r="C25" s="3" t="s">
        <v>38</v>
      </c>
      <c r="D25" s="25"/>
      <c r="E25" s="25"/>
      <c r="F25" s="25">
        <v>1</v>
      </c>
      <c r="G25" s="25">
        <v>7</v>
      </c>
      <c r="H25" s="26">
        <v>1</v>
      </c>
      <c r="I25" s="26">
        <v>1</v>
      </c>
      <c r="J25" s="25">
        <v>3</v>
      </c>
      <c r="K25" s="27">
        <f t="shared" si="1"/>
        <v>0.45449206153250099</v>
      </c>
      <c r="L25" s="28">
        <v>1.4907999999999999</v>
      </c>
      <c r="M25" s="28">
        <f>0.102069944444444+25000/30/180/7</f>
        <v>0.76344560582010501</v>
      </c>
      <c r="N25" s="25"/>
      <c r="O25" s="28">
        <f t="shared" si="0"/>
        <v>2.2542456058201099E-2</v>
      </c>
      <c r="P25" s="28">
        <v>0.72665127321693102</v>
      </c>
      <c r="Q25" s="29"/>
      <c r="R25" s="30">
        <v>1.6384000000000001</v>
      </c>
      <c r="S25" s="25"/>
      <c r="T25" s="25"/>
      <c r="U25" s="25"/>
      <c r="V25" s="25"/>
      <c r="W25" s="25"/>
      <c r="X25" s="31">
        <v>1</v>
      </c>
      <c r="Y25" s="31">
        <v>0.89939999999999998</v>
      </c>
    </row>
    <row r="26" spans="1:25" s="3" customFormat="1" ht="18.5" customHeight="1" x14ac:dyDescent="0.3">
      <c r="A26" s="3" t="s">
        <v>36</v>
      </c>
      <c r="B26" s="3" t="s">
        <v>37</v>
      </c>
      <c r="C26" s="3" t="s">
        <v>38</v>
      </c>
      <c r="D26" s="25"/>
      <c r="E26" s="25"/>
      <c r="F26" s="25">
        <v>1</v>
      </c>
      <c r="G26" s="25">
        <v>7</v>
      </c>
      <c r="H26" s="26">
        <v>1</v>
      </c>
      <c r="I26" s="26">
        <v>1</v>
      </c>
      <c r="J26" s="25">
        <v>3</v>
      </c>
      <c r="K26" s="27">
        <f t="shared" si="1"/>
        <v>0.38137489268907199</v>
      </c>
      <c r="L26" s="28">
        <v>2.1648000000000001</v>
      </c>
      <c r="M26" s="28">
        <f>0.101822666666667+25000/30/180/7</f>
        <v>0.76319832804232801</v>
      </c>
      <c r="N26" s="25"/>
      <c r="O26" s="28">
        <f t="shared" si="0"/>
        <v>2.9279983280423302E-2</v>
      </c>
      <c r="P26" s="28">
        <v>0.889639590772487</v>
      </c>
      <c r="Q26" s="29"/>
      <c r="R26" s="30">
        <v>2.3797999999999999</v>
      </c>
      <c r="S26" s="25"/>
      <c r="T26" s="25"/>
      <c r="U26" s="25"/>
      <c r="V26" s="25"/>
      <c r="W26" s="25"/>
      <c r="X26" s="31">
        <v>1</v>
      </c>
      <c r="Y26" s="31">
        <v>0.89029999999999998</v>
      </c>
    </row>
    <row r="27" spans="1:25" s="3" customFormat="1" ht="18.5" customHeight="1" x14ac:dyDescent="0.3">
      <c r="A27" s="3" t="s">
        <v>36</v>
      </c>
      <c r="B27" s="3" t="s">
        <v>37</v>
      </c>
      <c r="C27" s="3" t="s">
        <v>38</v>
      </c>
      <c r="D27" s="25"/>
      <c r="E27" s="25"/>
      <c r="F27" s="25">
        <v>1</v>
      </c>
      <c r="G27" s="25">
        <v>7</v>
      </c>
      <c r="H27" s="26">
        <v>1</v>
      </c>
      <c r="I27" s="26">
        <v>1</v>
      </c>
      <c r="J27" s="25">
        <v>3</v>
      </c>
      <c r="K27" s="27">
        <f t="shared" si="1"/>
        <v>0.39940299639205501</v>
      </c>
      <c r="L27" s="28">
        <v>1.9601999999999999</v>
      </c>
      <c r="M27" s="28">
        <f>0.0995949444444444+25000/30/180/7</f>
        <v>0.76097060582010601</v>
      </c>
      <c r="N27" s="25"/>
      <c r="O27" s="28">
        <f t="shared" si="0"/>
        <v>2.7211706058201099E-2</v>
      </c>
      <c r="P27" s="28">
        <v>0.83904817321693104</v>
      </c>
      <c r="Q27" s="29"/>
      <c r="R27" s="30">
        <v>2.1545999999999998</v>
      </c>
      <c r="S27" s="25"/>
      <c r="T27" s="25"/>
      <c r="U27" s="25"/>
      <c r="V27" s="25"/>
      <c r="W27" s="25"/>
      <c r="X27" s="31">
        <v>1</v>
      </c>
      <c r="Y27" s="31">
        <v>0.89259999999999995</v>
      </c>
    </row>
    <row r="28" spans="1:25" s="3" customFormat="1" ht="18.5" customHeight="1" x14ac:dyDescent="0.3">
      <c r="A28" s="3" t="s">
        <v>36</v>
      </c>
      <c r="B28" s="3" t="s">
        <v>37</v>
      </c>
      <c r="C28" s="3" t="s">
        <v>38</v>
      </c>
      <c r="D28" s="25"/>
      <c r="E28" s="25"/>
      <c r="F28" s="25">
        <v>1</v>
      </c>
      <c r="G28" s="25">
        <v>7</v>
      </c>
      <c r="H28" s="26">
        <v>1</v>
      </c>
      <c r="I28" s="26">
        <v>1</v>
      </c>
      <c r="J28" s="25">
        <v>3</v>
      </c>
      <c r="K28" s="27">
        <f t="shared" si="1"/>
        <v>0.31662028366617601</v>
      </c>
      <c r="L28" s="28">
        <v>0.89220000000000499</v>
      </c>
      <c r="M28" s="28">
        <f>0.0285117031250002+25000/30/640/7</f>
        <v>0.214523607886905</v>
      </c>
      <c r="N28" s="25"/>
      <c r="O28" s="28">
        <f t="shared" si="0"/>
        <v>1.10672360788691E-2</v>
      </c>
      <c r="P28" s="28">
        <v>0.31611182621726203</v>
      </c>
      <c r="Q28" s="29"/>
      <c r="R28" s="30">
        <v>0.97989999999999999</v>
      </c>
      <c r="S28" s="25"/>
      <c r="T28" s="25"/>
      <c r="U28" s="25"/>
      <c r="V28" s="25"/>
      <c r="W28" s="25"/>
      <c r="X28" s="31">
        <v>1</v>
      </c>
      <c r="Y28" s="31">
        <v>0.88160000000000005</v>
      </c>
    </row>
    <row r="29" spans="1:25" s="3" customFormat="1" ht="18.5" customHeight="1" x14ac:dyDescent="0.3">
      <c r="A29" s="3" t="s">
        <v>36</v>
      </c>
      <c r="B29" s="3" t="s">
        <v>37</v>
      </c>
      <c r="C29" s="3" t="s">
        <v>38</v>
      </c>
      <c r="D29" s="25"/>
      <c r="E29" s="25"/>
      <c r="F29" s="25">
        <v>1</v>
      </c>
      <c r="G29" s="25">
        <v>7</v>
      </c>
      <c r="H29" s="26">
        <v>1</v>
      </c>
      <c r="I29" s="26">
        <v>1</v>
      </c>
      <c r="J29" s="25">
        <v>3</v>
      </c>
      <c r="K29" s="27">
        <f t="shared" si="1"/>
        <v>0.29075880206161397</v>
      </c>
      <c r="L29" s="28">
        <v>1.0669999999999999</v>
      </c>
      <c r="M29" s="28">
        <f>0.028511703125+25000/30/640/7</f>
        <v>0.214523607886905</v>
      </c>
      <c r="N29" s="25"/>
      <c r="O29" s="28">
        <f t="shared" si="0"/>
        <v>1.2815236078869001E-2</v>
      </c>
      <c r="P29" s="28">
        <v>0.35841342621726202</v>
      </c>
      <c r="Q29" s="29"/>
      <c r="R29" s="30">
        <v>1.1721999999999999</v>
      </c>
      <c r="S29" s="25"/>
      <c r="T29" s="25"/>
      <c r="U29" s="25"/>
      <c r="V29" s="25"/>
      <c r="W29" s="25"/>
      <c r="X29" s="31">
        <v>1</v>
      </c>
      <c r="Y29" s="31">
        <v>0.87790000000000001</v>
      </c>
    </row>
    <row r="30" spans="1:25" s="3" customFormat="1" ht="18.5" customHeight="1" x14ac:dyDescent="0.3">
      <c r="A30" s="3" t="s">
        <v>36</v>
      </c>
      <c r="B30" s="3" t="s">
        <v>37</v>
      </c>
      <c r="C30" s="3" t="s">
        <v>38</v>
      </c>
      <c r="D30" s="25"/>
      <c r="E30" s="25"/>
      <c r="F30" s="25">
        <v>1</v>
      </c>
      <c r="G30" s="25">
        <v>7</v>
      </c>
      <c r="H30" s="26">
        <v>1</v>
      </c>
      <c r="I30" s="26">
        <v>1</v>
      </c>
      <c r="J30" s="25">
        <v>3</v>
      </c>
      <c r="K30" s="27">
        <f t="shared" si="1"/>
        <v>0.31297159143649</v>
      </c>
      <c r="L30" s="28">
        <v>1.0049999999999999</v>
      </c>
      <c r="M30" s="28">
        <f>0.0315232586206899+25000/30/580/7</f>
        <v>0.23677777422003299</v>
      </c>
      <c r="N30" s="25"/>
      <c r="O30" s="28">
        <f t="shared" si="0"/>
        <v>1.2417777742200301E-2</v>
      </c>
      <c r="P30" s="28">
        <v>0.35418044272249599</v>
      </c>
      <c r="Q30" s="29"/>
      <c r="R30" s="30">
        <v>1.105</v>
      </c>
      <c r="S30" s="25"/>
      <c r="T30" s="25"/>
      <c r="U30" s="25"/>
      <c r="V30" s="25"/>
      <c r="W30" s="25"/>
      <c r="X30" s="31">
        <v>1</v>
      </c>
      <c r="Y30" s="31">
        <v>0.88109999999999999</v>
      </c>
    </row>
    <row r="31" spans="1:25" s="3" customFormat="1" ht="18.5" customHeight="1" x14ac:dyDescent="0.3">
      <c r="A31" s="3" t="s">
        <v>36</v>
      </c>
      <c r="B31" s="3" t="s">
        <v>37</v>
      </c>
      <c r="C31" s="3" t="s">
        <v>40</v>
      </c>
      <c r="D31" s="25"/>
      <c r="E31" s="25"/>
      <c r="F31" s="25">
        <v>1</v>
      </c>
      <c r="G31" s="25">
        <v>7</v>
      </c>
      <c r="H31" s="26">
        <v>1</v>
      </c>
      <c r="I31" s="26">
        <v>1</v>
      </c>
      <c r="J31" s="25">
        <v>3</v>
      </c>
      <c r="K31" s="27">
        <f t="shared" si="1"/>
        <v>0.41745909349903898</v>
      </c>
      <c r="L31" s="28">
        <v>1.7363</v>
      </c>
      <c r="M31" s="28">
        <f>0.0911+25000/30/220/7</f>
        <v>0.63222554112554097</v>
      </c>
      <c r="N31" s="25"/>
      <c r="O31" s="28">
        <f t="shared" si="0"/>
        <v>2.36852554112554E-2</v>
      </c>
      <c r="P31" s="28">
        <v>0.88378232034631998</v>
      </c>
      <c r="Q31" s="29"/>
      <c r="R31" s="30">
        <v>1.9084000000000001</v>
      </c>
      <c r="S31" s="25"/>
      <c r="T31" s="25"/>
      <c r="U31" s="25"/>
      <c r="V31" s="25"/>
      <c r="W31" s="25"/>
      <c r="X31" s="31">
        <v>1</v>
      </c>
      <c r="Y31" s="31">
        <v>0.89490000000000003</v>
      </c>
    </row>
    <row r="32" spans="1:25" s="3" customFormat="1" ht="18.5" customHeight="1" x14ac:dyDescent="0.3">
      <c r="A32" s="3" t="s">
        <v>36</v>
      </c>
      <c r="B32" s="3" t="s">
        <v>37</v>
      </c>
      <c r="C32" s="3" t="s">
        <v>40</v>
      </c>
      <c r="D32" s="25"/>
      <c r="E32" s="25"/>
      <c r="F32" s="25">
        <v>1</v>
      </c>
      <c r="G32" s="25">
        <v>7</v>
      </c>
      <c r="H32" s="26">
        <v>1</v>
      </c>
      <c r="I32" s="26">
        <v>1</v>
      </c>
      <c r="J32" s="25">
        <v>3</v>
      </c>
      <c r="K32" s="27">
        <f t="shared" si="1"/>
        <v>0.39524510358481502</v>
      </c>
      <c r="L32" s="28">
        <v>2.1352000000000002</v>
      </c>
      <c r="M32" s="28">
        <f>0.0896+25000/30/200/7</f>
        <v>0.68483809523809502</v>
      </c>
      <c r="N32" s="25"/>
      <c r="O32" s="28">
        <f t="shared" si="0"/>
        <v>2.8200380952381001E-2</v>
      </c>
      <c r="P32" s="28">
        <v>1.0330033523809501</v>
      </c>
      <c r="Q32" s="29"/>
      <c r="R32" s="30">
        <v>2.3472</v>
      </c>
      <c r="S32" s="25"/>
      <c r="T32" s="25"/>
      <c r="U32" s="25"/>
      <c r="V32" s="25"/>
      <c r="W32" s="25"/>
      <c r="X32" s="31">
        <v>1</v>
      </c>
      <c r="Y32" s="31">
        <v>0.8921</v>
      </c>
    </row>
    <row r="33" spans="1:25" s="3" customFormat="1" ht="18.5" customHeight="1" x14ac:dyDescent="0.3">
      <c r="A33" s="3" t="s">
        <v>36</v>
      </c>
      <c r="B33" s="3" t="s">
        <v>37</v>
      </c>
      <c r="C33" s="3" t="s">
        <v>40</v>
      </c>
      <c r="D33" s="25"/>
      <c r="E33" s="25"/>
      <c r="F33" s="25">
        <v>1</v>
      </c>
      <c r="G33" s="25">
        <v>7</v>
      </c>
      <c r="H33" s="26">
        <v>1</v>
      </c>
      <c r="I33" s="26">
        <v>1</v>
      </c>
      <c r="J33" s="25">
        <v>3</v>
      </c>
      <c r="K33" s="27">
        <f t="shared" si="1"/>
        <v>0.40124764210125702</v>
      </c>
      <c r="L33" s="28">
        <v>2.1888000000000001</v>
      </c>
      <c r="M33" s="28">
        <f>0.09+25000/30/200/7</f>
        <v>0.68523809523809498</v>
      </c>
      <c r="N33" s="25"/>
      <c r="O33" s="28">
        <f t="shared" si="0"/>
        <v>2.8740380952381E-2</v>
      </c>
      <c r="P33" s="28">
        <v>1.0491057523809499</v>
      </c>
      <c r="Q33" s="29"/>
      <c r="R33" s="30">
        <v>2.3662000000000001</v>
      </c>
      <c r="S33" s="25"/>
      <c r="T33" s="25"/>
      <c r="U33" s="25"/>
      <c r="V33" s="25"/>
      <c r="W33" s="25"/>
      <c r="X33" s="31">
        <v>1</v>
      </c>
      <c r="Y33" s="31">
        <v>0.89280000000000004</v>
      </c>
    </row>
    <row r="34" spans="1:25" s="3" customFormat="1" ht="18.5" customHeight="1" x14ac:dyDescent="0.3">
      <c r="A34" s="3" t="s">
        <v>36</v>
      </c>
      <c r="B34" s="3" t="s">
        <v>37</v>
      </c>
      <c r="C34" s="3" t="s">
        <v>40</v>
      </c>
      <c r="D34" s="25"/>
      <c r="E34" s="25"/>
      <c r="F34" s="25">
        <v>1</v>
      </c>
      <c r="G34" s="25">
        <v>7</v>
      </c>
      <c r="H34" s="26">
        <v>1</v>
      </c>
      <c r="I34" s="26">
        <v>1</v>
      </c>
      <c r="J34" s="25">
        <v>3</v>
      </c>
      <c r="K34" s="27">
        <f t="shared" si="1"/>
        <v>0.36396127049794502</v>
      </c>
      <c r="L34" s="28">
        <v>1.1571</v>
      </c>
      <c r="M34" s="28">
        <f>0.0395+25000/30/480/7</f>
        <v>0.287515873015873</v>
      </c>
      <c r="N34" s="25"/>
      <c r="O34" s="28">
        <f t="shared" si="0"/>
        <v>1.44461587301587E-2</v>
      </c>
      <c r="P34" s="28">
        <v>0.508270996825397</v>
      </c>
      <c r="Q34" s="29"/>
      <c r="R34" s="30">
        <v>1.2513000000000001</v>
      </c>
      <c r="S34" s="25"/>
      <c r="T34" s="25"/>
      <c r="U34" s="25"/>
      <c r="V34" s="25"/>
      <c r="W34" s="25"/>
      <c r="X34" s="31">
        <v>1</v>
      </c>
      <c r="Y34" s="31">
        <v>0.88800000000000001</v>
      </c>
    </row>
    <row r="35" spans="1:25" s="3" customFormat="1" ht="18.5" customHeight="1" x14ac:dyDescent="0.3">
      <c r="A35" s="3" t="s">
        <v>36</v>
      </c>
      <c r="B35" s="3" t="s">
        <v>37</v>
      </c>
      <c r="C35" s="3" t="s">
        <v>40</v>
      </c>
      <c r="D35" s="25"/>
      <c r="E35" s="25"/>
      <c r="F35" s="25">
        <v>1</v>
      </c>
      <c r="G35" s="25">
        <v>7</v>
      </c>
      <c r="H35" s="26">
        <v>1</v>
      </c>
      <c r="I35" s="26">
        <v>1</v>
      </c>
      <c r="J35" s="25">
        <v>3</v>
      </c>
      <c r="K35" s="27">
        <f t="shared" si="1"/>
        <v>0.33327702109225299</v>
      </c>
      <c r="L35" s="28">
        <v>1.6994</v>
      </c>
      <c r="M35" s="28">
        <f>0.0452+25000/30/420/7</f>
        <v>0.328646712018141</v>
      </c>
      <c r="N35" s="25"/>
      <c r="O35" s="28">
        <f t="shared" si="0"/>
        <v>2.0280467120181399E-2</v>
      </c>
      <c r="P35" s="28">
        <v>0.69314125351473899</v>
      </c>
      <c r="Q35" s="29"/>
      <c r="R35" s="30">
        <v>1.8278000000000001</v>
      </c>
      <c r="S35" s="25"/>
      <c r="T35" s="25"/>
      <c r="U35" s="25"/>
      <c r="V35" s="25"/>
      <c r="W35" s="25"/>
      <c r="X35" s="31">
        <v>1</v>
      </c>
      <c r="Y35" s="31">
        <v>0.88390000000000002</v>
      </c>
    </row>
    <row r="36" spans="1:25" s="3" customFormat="1" ht="18.5" customHeight="1" x14ac:dyDescent="0.3">
      <c r="A36" s="3" t="s">
        <v>36</v>
      </c>
      <c r="B36" s="3" t="s">
        <v>37</v>
      </c>
      <c r="C36" s="3" t="s">
        <v>40</v>
      </c>
      <c r="D36" s="25"/>
      <c r="E36" s="25"/>
      <c r="F36" s="25">
        <v>1</v>
      </c>
      <c r="G36" s="25">
        <v>7</v>
      </c>
      <c r="H36" s="26">
        <v>1</v>
      </c>
      <c r="I36" s="26">
        <v>1</v>
      </c>
      <c r="J36" s="25">
        <v>3</v>
      </c>
      <c r="K36" s="27">
        <f t="shared" si="1"/>
        <v>0.53579812955233896</v>
      </c>
      <c r="L36" s="28">
        <v>2.95550000000001</v>
      </c>
      <c r="M36" s="28">
        <f>0.262465571428571+25000/30/70/7</f>
        <v>1.9631458435374101</v>
      </c>
      <c r="N36" s="25"/>
      <c r="O36" s="28">
        <f t="shared" si="0"/>
        <v>4.9186458435374197E-2</v>
      </c>
      <c r="P36" s="28">
        <v>2.0325703393741499</v>
      </c>
      <c r="Q36" s="29"/>
      <c r="R36" s="30">
        <v>3.2496</v>
      </c>
      <c r="S36" s="25"/>
      <c r="T36" s="25"/>
      <c r="U36" s="25"/>
      <c r="V36" s="25"/>
      <c r="W36" s="25"/>
      <c r="X36" s="31">
        <v>1</v>
      </c>
      <c r="Y36" s="31">
        <v>0.90880000000000005</v>
      </c>
    </row>
    <row r="37" spans="1:25" s="3" customFormat="1" ht="18.5" customHeight="1" x14ac:dyDescent="0.3">
      <c r="A37" s="3" t="s">
        <v>36</v>
      </c>
      <c r="B37" s="3" t="s">
        <v>37</v>
      </c>
      <c r="C37" s="3" t="s">
        <v>40</v>
      </c>
      <c r="D37" s="25"/>
      <c r="E37" s="25"/>
      <c r="F37" s="25">
        <v>1</v>
      </c>
      <c r="G37" s="25">
        <v>7</v>
      </c>
      <c r="H37" s="26">
        <v>1</v>
      </c>
      <c r="I37" s="26">
        <v>1</v>
      </c>
      <c r="J37" s="25">
        <v>3</v>
      </c>
      <c r="K37" s="27">
        <f t="shared" si="1"/>
        <v>0.61824265841680903</v>
      </c>
      <c r="L37" s="28">
        <v>2.3288000000000002</v>
      </c>
      <c r="M37" s="28">
        <f>0.306209833333333+25000/30/60/7</f>
        <v>2.2903368174603198</v>
      </c>
      <c r="N37" s="25"/>
      <c r="O37" s="28">
        <f t="shared" si="0"/>
        <v>4.6191368174603203E-2</v>
      </c>
      <c r="P37" s="28">
        <v>2.0407641959365099</v>
      </c>
      <c r="Q37" s="29"/>
      <c r="R37" s="30">
        <v>2.5600999999999998</v>
      </c>
      <c r="S37" s="25"/>
      <c r="T37" s="25"/>
      <c r="U37" s="25"/>
      <c r="V37" s="25"/>
      <c r="W37" s="25"/>
      <c r="X37" s="31">
        <v>1</v>
      </c>
      <c r="Y37" s="31">
        <v>0.91749999999999998</v>
      </c>
    </row>
    <row r="38" spans="1:25" s="3" customFormat="1" ht="18.5" customHeight="1" x14ac:dyDescent="0.3">
      <c r="A38" s="3" t="s">
        <v>36</v>
      </c>
      <c r="B38" s="3" t="s">
        <v>37</v>
      </c>
      <c r="C38" s="3" t="s">
        <v>40</v>
      </c>
      <c r="D38" s="25"/>
      <c r="E38" s="25"/>
      <c r="F38" s="25">
        <v>1</v>
      </c>
      <c r="G38" s="25">
        <v>7</v>
      </c>
      <c r="H38" s="26">
        <v>1</v>
      </c>
      <c r="I38" s="26">
        <v>1</v>
      </c>
      <c r="J38" s="25">
        <v>3</v>
      </c>
      <c r="K38" s="27">
        <f t="shared" si="1"/>
        <v>0.54288061582408198</v>
      </c>
      <c r="L38" s="28">
        <v>0.41560000000000002</v>
      </c>
      <c r="M38" s="28">
        <f>0.0380906041666666+25000/30/480/7</f>
        <v>0.28610647718254001</v>
      </c>
      <c r="N38" s="25"/>
      <c r="O38" s="28">
        <f t="shared" si="0"/>
        <v>7.0170647718254004E-3</v>
      </c>
      <c r="P38" s="28">
        <v>0.28795263449206299</v>
      </c>
      <c r="Q38" s="29"/>
      <c r="R38" s="30">
        <v>0.4556</v>
      </c>
      <c r="S38" s="25"/>
      <c r="T38" s="25"/>
      <c r="U38" s="25"/>
      <c r="V38" s="25"/>
      <c r="W38" s="25"/>
      <c r="X38" s="31">
        <v>1</v>
      </c>
      <c r="Y38" s="31">
        <v>0.90949999999999998</v>
      </c>
    </row>
    <row r="39" spans="1:25" s="3" customFormat="1" ht="18.5" customHeight="1" x14ac:dyDescent="0.3">
      <c r="A39" s="3" t="s">
        <v>36</v>
      </c>
      <c r="B39" s="3" t="s">
        <v>37</v>
      </c>
      <c r="C39" s="3" t="s">
        <v>40</v>
      </c>
      <c r="D39" s="25"/>
      <c r="E39" s="25"/>
      <c r="F39" s="25">
        <v>1</v>
      </c>
      <c r="G39" s="25">
        <v>7</v>
      </c>
      <c r="H39" s="26">
        <v>1</v>
      </c>
      <c r="I39" s="26">
        <v>1</v>
      </c>
      <c r="J39" s="25">
        <v>3</v>
      </c>
      <c r="K39" s="27">
        <f t="shared" si="1"/>
        <v>0.52212700340491403</v>
      </c>
      <c r="L39" s="28">
        <v>0.45929999999999999</v>
      </c>
      <c r="M39" s="28">
        <f>0.0382762291666666+25000/30/480/7</f>
        <v>0.28629210218253998</v>
      </c>
      <c r="N39" s="25"/>
      <c r="O39" s="28">
        <f t="shared" si="0"/>
        <v>7.4559210218253999E-3</v>
      </c>
      <c r="P39" s="28">
        <v>0.30099772449206302</v>
      </c>
      <c r="Q39" s="29"/>
      <c r="R39" s="30">
        <v>0.50370000000000004</v>
      </c>
      <c r="S39" s="25"/>
      <c r="T39" s="25"/>
      <c r="U39" s="25"/>
      <c r="V39" s="25"/>
      <c r="W39" s="25"/>
      <c r="X39" s="31">
        <v>1</v>
      </c>
      <c r="Y39" s="31">
        <v>0.9073</v>
      </c>
    </row>
    <row r="40" spans="1:25" s="3" customFormat="1" ht="18.5" customHeight="1" x14ac:dyDescent="0.3">
      <c r="A40" s="3" t="s">
        <v>36</v>
      </c>
      <c r="B40" s="3" t="s">
        <v>37</v>
      </c>
      <c r="C40" s="3" t="s">
        <v>40</v>
      </c>
      <c r="D40" s="25"/>
      <c r="E40" s="25"/>
      <c r="F40" s="25">
        <v>1</v>
      </c>
      <c r="G40" s="25">
        <v>7</v>
      </c>
      <c r="H40" s="26">
        <v>1</v>
      </c>
      <c r="I40" s="26">
        <v>1</v>
      </c>
      <c r="J40" s="25">
        <v>3</v>
      </c>
      <c r="K40" s="27">
        <f t="shared" si="1"/>
        <v>0.28916095481323101</v>
      </c>
      <c r="L40" s="28">
        <v>0.36899999999999999</v>
      </c>
      <c r="M40" s="28">
        <f>0.00746995833333336+25000/30/2400/7</f>
        <v>5.7073132936508002E-2</v>
      </c>
      <c r="N40" s="25"/>
      <c r="O40" s="28">
        <f t="shared" si="0"/>
        <v>4.2607313293650797E-3</v>
      </c>
      <c r="P40" s="28">
        <v>0.13857129469841301</v>
      </c>
      <c r="Q40" s="29"/>
      <c r="R40" s="30">
        <v>0.40439999999999998</v>
      </c>
      <c r="S40" s="25"/>
      <c r="T40" s="25"/>
      <c r="U40" s="25"/>
      <c r="V40" s="25"/>
      <c r="W40" s="25"/>
      <c r="X40" s="31">
        <v>1</v>
      </c>
      <c r="Y40" s="31">
        <v>0.87770000000000004</v>
      </c>
    </row>
    <row r="41" spans="1:25" s="3" customFormat="1" ht="18.5" customHeight="1" x14ac:dyDescent="0.3">
      <c r="A41" s="3" t="s">
        <v>36</v>
      </c>
      <c r="B41" s="3" t="s">
        <v>37</v>
      </c>
      <c r="C41" s="3" t="s">
        <v>40</v>
      </c>
      <c r="D41" s="25"/>
      <c r="E41" s="25"/>
      <c r="F41" s="25">
        <v>1</v>
      </c>
      <c r="G41" s="25">
        <v>7</v>
      </c>
      <c r="H41" s="26">
        <v>1</v>
      </c>
      <c r="I41" s="26">
        <v>1</v>
      </c>
      <c r="J41" s="25">
        <v>3</v>
      </c>
      <c r="K41" s="27">
        <f t="shared" si="1"/>
        <v>0.16464837743237301</v>
      </c>
      <c r="L41" s="28">
        <v>3.3700000000000001E-2</v>
      </c>
      <c r="M41" s="28">
        <f>0.000238462666666665+25000/30/75000/7</f>
        <v>1.82576425396825E-3</v>
      </c>
      <c r="N41" s="25"/>
      <c r="O41" s="28">
        <f t="shared" si="0"/>
        <v>3.5525764253968302E-4</v>
      </c>
      <c r="P41" s="28">
        <v>6.6160524383492101E-3</v>
      </c>
      <c r="Q41" s="29"/>
      <c r="R41" s="30">
        <v>3.5499999999999997E-2</v>
      </c>
      <c r="S41" s="25"/>
      <c r="T41" s="25"/>
      <c r="U41" s="25"/>
      <c r="V41" s="25"/>
      <c r="W41" s="25"/>
      <c r="X41" s="31">
        <v>1</v>
      </c>
      <c r="Y41" s="31">
        <v>0.85880000000000001</v>
      </c>
    </row>
    <row r="42" spans="1:25" ht="18.5" customHeight="1" x14ac:dyDescent="0.3">
      <c r="A42" s="3" t="s">
        <v>36</v>
      </c>
      <c r="B42" s="3" t="s">
        <v>37</v>
      </c>
      <c r="C42" s="3" t="s">
        <v>41</v>
      </c>
      <c r="F42" s="25">
        <v>1</v>
      </c>
      <c r="G42" s="25">
        <v>7</v>
      </c>
      <c r="H42" s="26">
        <v>1</v>
      </c>
      <c r="I42" s="26">
        <v>1</v>
      </c>
      <c r="J42" s="25">
        <v>4</v>
      </c>
      <c r="K42" s="27">
        <f t="shared" si="1"/>
        <v>0.39329887606259101</v>
      </c>
      <c r="L42" s="7">
        <v>0.35210000000000002</v>
      </c>
      <c r="M42" s="7">
        <f>0.1858+0.02</f>
        <v>0.20580000000000001</v>
      </c>
      <c r="O42" s="28">
        <f t="shared" si="0"/>
        <v>5.5789999999999998E-3</v>
      </c>
      <c r="P42" s="28">
        <v>7.2748599999999997E-2</v>
      </c>
      <c r="R42" s="9">
        <v>0.38600000000000001</v>
      </c>
      <c r="X42" s="31">
        <v>1</v>
      </c>
      <c r="Y42" s="31">
        <v>0.86819999999999997</v>
      </c>
    </row>
    <row r="43" spans="1:25" ht="18.5" customHeight="1" x14ac:dyDescent="0.3">
      <c r="A43" s="3" t="s">
        <v>36</v>
      </c>
      <c r="B43" s="3" t="s">
        <v>37</v>
      </c>
      <c r="C43" s="2" t="s">
        <v>41</v>
      </c>
      <c r="F43" s="25">
        <v>1</v>
      </c>
      <c r="G43" s="25">
        <v>7</v>
      </c>
      <c r="H43" s="26">
        <v>1</v>
      </c>
      <c r="I43" s="26">
        <v>1</v>
      </c>
      <c r="J43" s="25">
        <v>4</v>
      </c>
      <c r="K43" s="27">
        <f t="shared" si="1"/>
        <v>0.41785318141500299</v>
      </c>
      <c r="L43" s="7">
        <v>0.45400000000000001</v>
      </c>
      <c r="M43" s="7">
        <f>0.2753+0.022</f>
        <v>0.29730000000000001</v>
      </c>
      <c r="O43" s="28">
        <f t="shared" si="0"/>
        <v>7.5129999999999997E-3</v>
      </c>
      <c r="P43" s="28">
        <v>0.1052302</v>
      </c>
      <c r="R43" s="9">
        <v>0.503</v>
      </c>
      <c r="X43" s="31">
        <v>1</v>
      </c>
      <c r="Y43" s="31">
        <v>0.87190000000000001</v>
      </c>
    </row>
    <row r="44" spans="1:25" ht="18.5" customHeight="1" x14ac:dyDescent="0.3">
      <c r="A44" s="3" t="s">
        <v>36</v>
      </c>
      <c r="B44" s="3" t="s">
        <v>37</v>
      </c>
      <c r="C44" s="2" t="s">
        <v>41</v>
      </c>
      <c r="F44" s="25">
        <v>1</v>
      </c>
      <c r="G44" s="25">
        <v>7</v>
      </c>
      <c r="H44" s="26">
        <v>1</v>
      </c>
      <c r="I44" s="26">
        <v>1</v>
      </c>
      <c r="J44" s="25">
        <v>4</v>
      </c>
      <c r="K44" s="27">
        <f t="shared" si="1"/>
        <v>0.40842900931069798</v>
      </c>
      <c r="L44" s="7">
        <v>0.35799999999999998</v>
      </c>
      <c r="M44" s="7">
        <f>0.1858+0.019</f>
        <v>0.20480000000000001</v>
      </c>
      <c r="O44" s="28">
        <f t="shared" si="0"/>
        <v>5.6280000000000002E-3</v>
      </c>
      <c r="P44" s="28">
        <v>0.100976021212363</v>
      </c>
      <c r="R44" s="9">
        <v>0.39600000000000002</v>
      </c>
      <c r="X44" s="31">
        <v>1</v>
      </c>
      <c r="Y44" s="31">
        <v>0.87050000000000005</v>
      </c>
    </row>
    <row r="45" spans="1:25" ht="18.5" customHeight="1" x14ac:dyDescent="0.3">
      <c r="A45" s="3" t="s">
        <v>36</v>
      </c>
      <c r="B45" s="3" t="s">
        <v>37</v>
      </c>
      <c r="C45" s="2" t="s">
        <v>41</v>
      </c>
      <c r="F45" s="25">
        <v>1</v>
      </c>
      <c r="G45" s="25">
        <v>7</v>
      </c>
      <c r="H45" s="26">
        <v>1</v>
      </c>
      <c r="I45" s="26">
        <v>1</v>
      </c>
      <c r="J45" s="25">
        <v>4</v>
      </c>
      <c r="K45" s="27">
        <f t="shared" si="1"/>
        <v>0.464074120617331</v>
      </c>
      <c r="L45" s="7">
        <v>0.40770000000000001</v>
      </c>
      <c r="M45" s="7">
        <f>0.2753+0.022</f>
        <v>0.29730000000000001</v>
      </c>
      <c r="O45" s="28">
        <f t="shared" si="0"/>
        <v>7.0499999999999998E-3</v>
      </c>
      <c r="P45" s="28">
        <v>0.12948428179192401</v>
      </c>
      <c r="R45" s="9">
        <v>0.45100000000000001</v>
      </c>
      <c r="X45" s="31">
        <v>1</v>
      </c>
      <c r="Y45" s="31">
        <v>0.87860000000000005</v>
      </c>
    </row>
    <row r="46" spans="1:25" ht="18.5" customHeight="1" x14ac:dyDescent="0.3">
      <c r="A46" s="3" t="s">
        <v>36</v>
      </c>
      <c r="B46" s="3" t="s">
        <v>37</v>
      </c>
      <c r="C46" s="32" t="s">
        <v>42</v>
      </c>
      <c r="F46" s="25">
        <v>1</v>
      </c>
      <c r="G46" s="25">
        <v>7</v>
      </c>
      <c r="H46" s="26">
        <v>1</v>
      </c>
      <c r="I46" s="26">
        <v>1</v>
      </c>
      <c r="J46" s="25">
        <v>2</v>
      </c>
      <c r="K46" s="27">
        <f t="shared" si="1"/>
        <v>0.35209235695014102</v>
      </c>
      <c r="L46" s="7">
        <v>0.44340000000000002</v>
      </c>
      <c r="M46" s="7">
        <v>0.20669999999999999</v>
      </c>
      <c r="O46" s="28">
        <f t="shared" si="0"/>
        <v>6.5009999999999998E-3</v>
      </c>
      <c r="P46" s="28">
        <v>9.1962479999999999E-2</v>
      </c>
      <c r="R46" s="9">
        <v>0.48499999999999999</v>
      </c>
      <c r="X46" s="31">
        <v>1</v>
      </c>
      <c r="Y46" s="31">
        <v>0.90710000000000002</v>
      </c>
    </row>
    <row r="47" spans="1:25" ht="18.5" customHeight="1" x14ac:dyDescent="0.3">
      <c r="A47" s="3" t="s">
        <v>36</v>
      </c>
      <c r="B47" s="3" t="s">
        <v>37</v>
      </c>
      <c r="C47" s="32" t="s">
        <v>42</v>
      </c>
      <c r="F47" s="25">
        <v>1</v>
      </c>
      <c r="G47" s="25">
        <v>7</v>
      </c>
      <c r="H47" s="26">
        <v>1</v>
      </c>
      <c r="I47" s="26">
        <v>1</v>
      </c>
      <c r="J47" s="25">
        <v>2</v>
      </c>
      <c r="K47" s="27">
        <f t="shared" si="1"/>
        <v>0.53431725107999095</v>
      </c>
      <c r="L47" s="7">
        <v>0.29470000000000002</v>
      </c>
      <c r="M47" s="7">
        <f>40/405/7+0.04*0.38*0.336*400/7</f>
        <v>0.30594934744268099</v>
      </c>
      <c r="O47" s="28">
        <f t="shared" si="0"/>
        <v>6.0064934744268102E-3</v>
      </c>
      <c r="P47" s="28">
        <v>8.4802025509700202E-2</v>
      </c>
      <c r="R47" s="9">
        <v>0.32200000000000001</v>
      </c>
      <c r="X47" s="31">
        <v>1</v>
      </c>
      <c r="Y47" s="31">
        <v>0.92559999999999998</v>
      </c>
    </row>
    <row r="48" spans="1:25" ht="18.5" customHeight="1" x14ac:dyDescent="0.3">
      <c r="A48" s="3" t="s">
        <v>36</v>
      </c>
      <c r="B48" s="3" t="s">
        <v>37</v>
      </c>
      <c r="C48" s="32" t="s">
        <v>42</v>
      </c>
      <c r="F48" s="25">
        <v>1</v>
      </c>
      <c r="G48" s="25">
        <v>7</v>
      </c>
      <c r="H48" s="26">
        <v>1</v>
      </c>
      <c r="I48" s="26">
        <v>1</v>
      </c>
      <c r="J48" s="25">
        <v>2</v>
      </c>
      <c r="K48" s="27">
        <f t="shared" si="1"/>
        <v>0.32304183969884398</v>
      </c>
      <c r="L48" s="7">
        <v>0.19350000000000001</v>
      </c>
      <c r="M48" s="7">
        <f>40/1350/7+0.02*0.362*0.179*400/7</f>
        <v>7.8287661375661399E-2</v>
      </c>
      <c r="O48" s="28">
        <f t="shared" si="0"/>
        <v>2.7178766137566099E-3</v>
      </c>
      <c r="P48" s="28">
        <v>3.7182853367195803E-2</v>
      </c>
      <c r="R48" s="9">
        <v>0.21099999999999999</v>
      </c>
      <c r="X48" s="31">
        <v>1</v>
      </c>
      <c r="Y48" s="31">
        <v>0.90380000000000005</v>
      </c>
    </row>
    <row r="49" spans="1:25" ht="18.5" customHeight="1" x14ac:dyDescent="0.3">
      <c r="A49" s="3" t="s">
        <v>36</v>
      </c>
      <c r="B49" s="3" t="s">
        <v>37</v>
      </c>
      <c r="C49" s="32" t="s">
        <v>42</v>
      </c>
      <c r="F49" s="25">
        <v>1</v>
      </c>
      <c r="G49" s="25">
        <v>7</v>
      </c>
      <c r="H49" s="26">
        <v>1</v>
      </c>
      <c r="I49" s="26">
        <v>1</v>
      </c>
      <c r="J49" s="25">
        <v>2</v>
      </c>
      <c r="K49" s="27">
        <f t="shared" si="1"/>
        <v>0.34036924126033602</v>
      </c>
      <c r="L49" s="7">
        <v>9.2299999999999993E-2</v>
      </c>
      <c r="M49" s="7">
        <f>40/2700/7+0.01*0.37*0.182*400/7</f>
        <v>4.05964021164021E-2</v>
      </c>
      <c r="O49" s="28">
        <f t="shared" si="0"/>
        <v>1.3289640211640199E-3</v>
      </c>
      <c r="P49" s="28">
        <v>1.7071399026454999E-2</v>
      </c>
      <c r="R49" s="9">
        <v>9.98E-2</v>
      </c>
      <c r="X49" s="31">
        <v>1</v>
      </c>
      <c r="Y49" s="31">
        <v>0.90580000000000005</v>
      </c>
    </row>
    <row r="50" spans="1:25" ht="18.5" customHeight="1" x14ac:dyDescent="0.3">
      <c r="A50" s="3" t="s">
        <v>36</v>
      </c>
      <c r="B50" s="3" t="s">
        <v>37</v>
      </c>
      <c r="C50" s="32" t="s">
        <v>42</v>
      </c>
      <c r="F50" s="25">
        <v>1</v>
      </c>
      <c r="G50" s="25">
        <v>7</v>
      </c>
      <c r="H50" s="26">
        <v>1</v>
      </c>
      <c r="I50" s="26">
        <v>1</v>
      </c>
      <c r="J50" s="25">
        <v>2</v>
      </c>
      <c r="K50" s="27">
        <f t="shared" si="1"/>
        <v>0.33784886876806203</v>
      </c>
      <c r="L50" s="7">
        <v>0.55779999999999996</v>
      </c>
      <c r="M50" s="7">
        <f>40/360/7+0.02*0.469*0.424*400/7</f>
        <v>0.243137015873016</v>
      </c>
      <c r="O50" s="28">
        <f t="shared" si="0"/>
        <v>8.0093701587301593E-3</v>
      </c>
      <c r="P50" s="28">
        <v>0.113803679898413</v>
      </c>
      <c r="R50" s="9">
        <v>0.61099999999999999</v>
      </c>
      <c r="X50" s="31">
        <v>1</v>
      </c>
      <c r="Y50" s="31">
        <v>0.90549999999999997</v>
      </c>
    </row>
    <row r="51" spans="1:25" ht="18.5" customHeight="1" x14ac:dyDescent="0.3">
      <c r="A51" s="3" t="s">
        <v>36</v>
      </c>
      <c r="B51" s="3" t="s">
        <v>37</v>
      </c>
      <c r="C51" s="2" t="s">
        <v>43</v>
      </c>
      <c r="F51" s="25">
        <v>1</v>
      </c>
      <c r="G51" s="25">
        <v>7</v>
      </c>
      <c r="H51" s="26">
        <v>0</v>
      </c>
      <c r="I51" s="26">
        <v>0</v>
      </c>
      <c r="J51" s="25">
        <v>2</v>
      </c>
      <c r="K51" s="27">
        <f t="shared" si="1"/>
        <v>1</v>
      </c>
      <c r="L51" s="7">
        <v>0.28499999999999998</v>
      </c>
      <c r="M51" s="7">
        <v>0.02</v>
      </c>
      <c r="O51" s="28">
        <f t="shared" si="0"/>
        <v>3.0500000000000002E-3</v>
      </c>
      <c r="P51" s="28">
        <v>6.0783999999999998E-2</v>
      </c>
      <c r="R51" s="9" t="s">
        <v>44</v>
      </c>
      <c r="X51" s="31">
        <v>0</v>
      </c>
      <c r="Y51" s="31">
        <v>0.4234</v>
      </c>
    </row>
    <row r="52" spans="1:25" ht="18.5" customHeight="1" x14ac:dyDescent="0.3">
      <c r="A52" s="3" t="s">
        <v>36</v>
      </c>
      <c r="B52" s="3" t="s">
        <v>37</v>
      </c>
      <c r="C52" s="2" t="s">
        <v>45</v>
      </c>
      <c r="F52" s="25">
        <v>1</v>
      </c>
      <c r="G52" s="25">
        <v>7</v>
      </c>
      <c r="H52" s="26">
        <v>0.9</v>
      </c>
      <c r="I52" s="26">
        <v>0.5</v>
      </c>
      <c r="J52" s="25">
        <v>2</v>
      </c>
      <c r="K52" s="27">
        <f t="shared" si="1"/>
        <v>0.161824504173887</v>
      </c>
      <c r="L52" s="7">
        <v>0.40600000000000003</v>
      </c>
      <c r="M52" s="7">
        <v>0.02</v>
      </c>
      <c r="O52" s="28">
        <f t="shared" si="0"/>
        <v>4.2599999999999999E-3</v>
      </c>
      <c r="P52" s="28">
        <v>9.9461999999999995E-2</v>
      </c>
      <c r="R52" s="9">
        <v>0.44400000000000001</v>
      </c>
      <c r="X52" s="31">
        <v>1</v>
      </c>
      <c r="Y52" s="31">
        <v>0.85170000000000001</v>
      </c>
    </row>
    <row r="53" spans="1:25" ht="18.5" customHeight="1" x14ac:dyDescent="0.3">
      <c r="A53" s="3" t="s">
        <v>36</v>
      </c>
      <c r="B53" s="3" t="s">
        <v>37</v>
      </c>
      <c r="C53" s="2" t="s">
        <v>45</v>
      </c>
      <c r="F53" s="25">
        <v>1</v>
      </c>
      <c r="G53" s="25">
        <v>7</v>
      </c>
      <c r="H53" s="26">
        <v>0.9</v>
      </c>
      <c r="I53" s="26">
        <v>0.5</v>
      </c>
      <c r="J53" s="25">
        <v>2</v>
      </c>
      <c r="K53" s="27">
        <f t="shared" si="1"/>
        <v>0.160597566174733</v>
      </c>
      <c r="L53" s="7">
        <v>0.4168</v>
      </c>
      <c r="M53" s="7">
        <v>0.02</v>
      </c>
      <c r="O53" s="28">
        <f t="shared" si="0"/>
        <v>4.3680000000000004E-3</v>
      </c>
      <c r="P53" s="28">
        <v>0.1020756</v>
      </c>
      <c r="R53" s="9">
        <v>0.45600000000000002</v>
      </c>
      <c r="X53" s="31">
        <v>1</v>
      </c>
      <c r="Y53" s="31">
        <v>0.85140000000000005</v>
      </c>
    </row>
    <row r="54" spans="1:25" ht="18.5" customHeight="1" x14ac:dyDescent="0.3">
      <c r="A54" s="3" t="s">
        <v>36</v>
      </c>
      <c r="B54" s="3" t="s">
        <v>37</v>
      </c>
      <c r="C54" s="2" t="s">
        <v>45</v>
      </c>
      <c r="F54" s="25">
        <v>1</v>
      </c>
      <c r="G54" s="25">
        <v>7</v>
      </c>
      <c r="H54" s="26">
        <v>0.9</v>
      </c>
      <c r="I54" s="26">
        <v>0.5</v>
      </c>
      <c r="J54" s="25">
        <v>2</v>
      </c>
      <c r="K54" s="27">
        <f t="shared" si="1"/>
        <v>0.15334429005428499</v>
      </c>
      <c r="L54" s="7">
        <v>0.2495</v>
      </c>
      <c r="M54" s="7">
        <v>0.01</v>
      </c>
      <c r="O54" s="28">
        <f t="shared" si="0"/>
        <v>2.5950000000000001E-3</v>
      </c>
      <c r="P54" s="28">
        <v>5.9168999999999999E-2</v>
      </c>
      <c r="R54" s="9">
        <v>0.27200000000000002</v>
      </c>
      <c r="X54" s="31">
        <v>1</v>
      </c>
      <c r="Y54" s="31">
        <v>0.85019999999999996</v>
      </c>
    </row>
    <row r="55" spans="1:25" ht="18.5" customHeight="1" x14ac:dyDescent="0.3">
      <c r="A55" s="3" t="s">
        <v>36</v>
      </c>
      <c r="B55" s="3" t="s">
        <v>37</v>
      </c>
      <c r="C55" s="2" t="s">
        <v>46</v>
      </c>
      <c r="F55" s="25">
        <v>1</v>
      </c>
      <c r="G55" s="25">
        <v>7</v>
      </c>
      <c r="H55" s="26">
        <v>0.4</v>
      </c>
      <c r="I55" s="26">
        <v>0.5</v>
      </c>
      <c r="J55" s="25">
        <v>2</v>
      </c>
      <c r="K55" s="27">
        <f t="shared" si="1"/>
        <v>0.20601012526135501</v>
      </c>
      <c r="L55" s="7">
        <v>7.8E-2</v>
      </c>
      <c r="M55" s="7">
        <v>9.4000000000000004E-3</v>
      </c>
      <c r="O55" s="28">
        <f t="shared" si="0"/>
        <v>8.7399999999999999E-4</v>
      </c>
      <c r="P55" s="28">
        <v>1.75208E-2</v>
      </c>
      <c r="R55" s="9">
        <v>8.4000000000000005E-2</v>
      </c>
      <c r="X55" s="31">
        <v>1</v>
      </c>
      <c r="Y55" s="31">
        <v>0.84019999999999995</v>
      </c>
    </row>
    <row r="56" spans="1:25" ht="18.5" customHeight="1" x14ac:dyDescent="0.3">
      <c r="A56" s="3" t="s">
        <v>36</v>
      </c>
      <c r="B56" s="3" t="s">
        <v>37</v>
      </c>
      <c r="C56" s="2" t="s">
        <v>46</v>
      </c>
      <c r="F56" s="25">
        <v>1</v>
      </c>
      <c r="G56" s="25">
        <v>7</v>
      </c>
      <c r="H56" s="26">
        <v>0.4</v>
      </c>
      <c r="I56" s="26">
        <v>0.5</v>
      </c>
      <c r="J56" s="25">
        <v>2</v>
      </c>
      <c r="K56" s="27">
        <f t="shared" si="1"/>
        <v>0.212385327467281</v>
      </c>
      <c r="L56" s="7">
        <v>0.105</v>
      </c>
      <c r="M56" s="7">
        <v>1.2999999999999999E-2</v>
      </c>
      <c r="O56" s="28">
        <f t="shared" si="0"/>
        <v>1.1800000000000001E-3</v>
      </c>
      <c r="P56" s="28">
        <v>2.4926E-2</v>
      </c>
      <c r="R56" s="9">
        <v>0.1135</v>
      </c>
      <c r="X56" s="31">
        <v>1</v>
      </c>
      <c r="Y56" s="31">
        <v>0.84130000000000005</v>
      </c>
    </row>
    <row r="57" spans="1:25" ht="18.5" customHeight="1" x14ac:dyDescent="0.3">
      <c r="A57" s="3" t="s">
        <v>36</v>
      </c>
      <c r="B57" s="3" t="s">
        <v>37</v>
      </c>
      <c r="C57" s="2" t="s">
        <v>46</v>
      </c>
      <c r="F57" s="25">
        <v>1</v>
      </c>
      <c r="G57" s="25">
        <v>7</v>
      </c>
      <c r="H57" s="26">
        <v>0.4</v>
      </c>
      <c r="I57" s="26">
        <v>0.5</v>
      </c>
      <c r="J57" s="25">
        <v>2</v>
      </c>
      <c r="K57" s="27">
        <f t="shared" si="1"/>
        <v>0.21412875593559499</v>
      </c>
      <c r="L57" s="7">
        <v>9.6000000000000002E-2</v>
      </c>
      <c r="M57" s="7">
        <v>1.26E-2</v>
      </c>
      <c r="O57" s="28">
        <f t="shared" si="0"/>
        <v>1.0859999999999999E-3</v>
      </c>
      <c r="P57" s="28">
        <v>2.26512E-2</v>
      </c>
      <c r="R57" s="9">
        <v>0.104</v>
      </c>
      <c r="X57" s="31">
        <v>1</v>
      </c>
      <c r="Y57" s="31">
        <v>0.84160000000000001</v>
      </c>
    </row>
    <row r="58" spans="1:25" ht="18.5" customHeight="1" x14ac:dyDescent="0.3">
      <c r="A58" s="3" t="s">
        <v>36</v>
      </c>
      <c r="B58" s="3" t="s">
        <v>37</v>
      </c>
      <c r="C58" s="2" t="s">
        <v>46</v>
      </c>
      <c r="F58" s="25">
        <v>1</v>
      </c>
      <c r="G58" s="25">
        <v>7</v>
      </c>
      <c r="H58" s="26">
        <v>0.4</v>
      </c>
      <c r="I58" s="26">
        <v>0.5</v>
      </c>
      <c r="J58" s="25">
        <v>2</v>
      </c>
      <c r="K58" s="27">
        <f t="shared" si="1"/>
        <v>0.207438688072491</v>
      </c>
      <c r="L58" s="7">
        <v>9.6000000000000002E-2</v>
      </c>
      <c r="M58" s="7">
        <v>1.0699999999999999E-2</v>
      </c>
      <c r="O58" s="28">
        <f t="shared" si="0"/>
        <v>1.067E-3</v>
      </c>
      <c r="P58" s="28">
        <v>2.21914E-2</v>
      </c>
      <c r="R58" s="9">
        <v>0.10299999999999999</v>
      </c>
      <c r="X58" s="31">
        <v>1</v>
      </c>
      <c r="Y58" s="31">
        <v>0.84050000000000002</v>
      </c>
    </row>
    <row r="59" spans="1:25" s="1" customFormat="1" ht="18.5" customHeight="1" x14ac:dyDescent="0.3">
      <c r="A59" s="33" t="s">
        <v>36</v>
      </c>
      <c r="B59" s="33" t="s">
        <v>37</v>
      </c>
      <c r="C59" s="34" t="s">
        <v>47</v>
      </c>
      <c r="D59" s="10"/>
      <c r="E59" s="10"/>
      <c r="F59" s="35">
        <v>1</v>
      </c>
      <c r="G59" s="35">
        <v>7</v>
      </c>
      <c r="H59" s="36">
        <v>0</v>
      </c>
      <c r="I59" s="36">
        <v>0.5</v>
      </c>
      <c r="J59" s="35">
        <v>2</v>
      </c>
      <c r="K59" s="27">
        <f t="shared" si="1"/>
        <v>0.16607801585432899</v>
      </c>
      <c r="L59" s="9">
        <v>1.9949999999999999E-2</v>
      </c>
      <c r="M59" s="9">
        <f>0.005*0.12</f>
        <v>5.9999999999999995E-4</v>
      </c>
      <c r="N59" s="10"/>
      <c r="O59" s="30">
        <f t="shared" si="0"/>
        <v>2.0550000000000001E-4</v>
      </c>
      <c r="P59" s="30">
        <f>SUM(L59+M59)*23%</f>
        <v>4.7264999999999998E-3</v>
      </c>
      <c r="Q59" s="12"/>
      <c r="R59" s="9">
        <v>2.1250000000000002E-2</v>
      </c>
      <c r="S59" s="10"/>
      <c r="T59" s="10"/>
      <c r="U59" s="10"/>
      <c r="V59" s="10"/>
      <c r="W59" s="10"/>
      <c r="X59" s="31">
        <v>1</v>
      </c>
      <c r="Y59" s="31">
        <v>0.81599999999999995</v>
      </c>
    </row>
    <row r="60" spans="1:25" s="1" customFormat="1" ht="18.5" customHeight="1" x14ac:dyDescent="0.3">
      <c r="A60" s="33" t="s">
        <v>36</v>
      </c>
      <c r="B60" s="33" t="s">
        <v>37</v>
      </c>
      <c r="C60" s="34" t="s">
        <v>47</v>
      </c>
      <c r="D60" s="10"/>
      <c r="E60" s="10"/>
      <c r="F60" s="35">
        <v>1</v>
      </c>
      <c r="G60" s="35">
        <v>7</v>
      </c>
      <c r="H60" s="36">
        <v>0</v>
      </c>
      <c r="I60" s="36">
        <v>0.5</v>
      </c>
      <c r="J60" s="35">
        <v>2</v>
      </c>
      <c r="K60" s="27">
        <f t="shared" si="1"/>
        <v>0.13000060521696999</v>
      </c>
      <c r="L60" s="9">
        <v>3.7275000000000003E-2</v>
      </c>
      <c r="M60" s="9">
        <f>0.0225*0.12</f>
        <v>2.7000000000000001E-3</v>
      </c>
      <c r="N60" s="10"/>
      <c r="O60" s="30">
        <f t="shared" si="0"/>
        <v>3.9974999999999999E-4</v>
      </c>
      <c r="P60" s="30">
        <f t="shared" ref="P60:P62" si="2">SUM(L60+M60)*23%</f>
        <v>9.1942499999999993E-3</v>
      </c>
      <c r="Q60" s="12"/>
      <c r="R60" s="9">
        <v>4.3124999999999997E-2</v>
      </c>
      <c r="S60" s="10"/>
      <c r="T60" s="10"/>
      <c r="U60" s="10"/>
      <c r="V60" s="10"/>
      <c r="W60" s="10"/>
      <c r="X60" s="31">
        <v>1</v>
      </c>
      <c r="Y60" s="31">
        <v>0.80869999999999997</v>
      </c>
    </row>
    <row r="61" spans="1:25" s="1" customFormat="1" ht="18.5" customHeight="1" x14ac:dyDescent="0.3">
      <c r="A61" s="33" t="s">
        <v>36</v>
      </c>
      <c r="B61" s="33" t="s">
        <v>37</v>
      </c>
      <c r="C61" s="34" t="s">
        <v>47</v>
      </c>
      <c r="D61" s="10"/>
      <c r="E61" s="10"/>
      <c r="F61" s="35">
        <v>1</v>
      </c>
      <c r="G61" s="35">
        <v>7</v>
      </c>
      <c r="H61" s="36">
        <v>0</v>
      </c>
      <c r="I61" s="36">
        <v>0.5</v>
      </c>
      <c r="J61" s="35">
        <v>2</v>
      </c>
      <c r="K61" s="27">
        <f t="shared" si="1"/>
        <v>0.11532444312001799</v>
      </c>
      <c r="L61" s="9">
        <v>5.9549999999999999E-2</v>
      </c>
      <c r="M61" s="9">
        <f>0.045*0.12</f>
        <v>5.4000000000000003E-3</v>
      </c>
      <c r="N61" s="10"/>
      <c r="O61" s="30">
        <f t="shared" si="0"/>
        <v>6.4950000000000001E-4</v>
      </c>
      <c r="P61" s="30">
        <f t="shared" si="2"/>
        <v>1.49385E-2</v>
      </c>
      <c r="Q61" s="12"/>
      <c r="R61" s="9">
        <v>7.1249999999999994E-2</v>
      </c>
      <c r="S61" s="10"/>
      <c r="T61" s="10"/>
      <c r="U61" s="10"/>
      <c r="V61" s="10"/>
      <c r="W61" s="10"/>
      <c r="X61" s="31">
        <v>1</v>
      </c>
      <c r="Y61" s="31">
        <v>0.80559999999999998</v>
      </c>
    </row>
    <row r="62" spans="1:25" s="1" customFormat="1" ht="18.5" customHeight="1" x14ac:dyDescent="0.3">
      <c r="A62" s="33" t="s">
        <v>36</v>
      </c>
      <c r="B62" s="33" t="s">
        <v>37</v>
      </c>
      <c r="C62" s="34" t="s">
        <v>47</v>
      </c>
      <c r="D62" s="10"/>
      <c r="E62" s="10"/>
      <c r="F62" s="35">
        <v>1</v>
      </c>
      <c r="G62" s="35">
        <v>7</v>
      </c>
      <c r="H62" s="36">
        <v>0</v>
      </c>
      <c r="I62" s="36">
        <v>0.5</v>
      </c>
      <c r="J62" s="35">
        <v>2</v>
      </c>
      <c r="K62" s="27">
        <f t="shared" si="1"/>
        <v>0.13097886540600701</v>
      </c>
      <c r="L62" s="9">
        <v>3.7319999999999999E-2</v>
      </c>
      <c r="M62" s="9">
        <f>0.0225*0.12</f>
        <v>2.7000000000000001E-3</v>
      </c>
      <c r="N62" s="10"/>
      <c r="O62" s="30">
        <f t="shared" si="0"/>
        <v>4.0020000000000002E-4</v>
      </c>
      <c r="P62" s="30">
        <f t="shared" si="2"/>
        <v>9.2046000000000003E-3</v>
      </c>
      <c r="Q62" s="12"/>
      <c r="R62" s="9">
        <v>4.3124999999999997E-2</v>
      </c>
      <c r="S62" s="10"/>
      <c r="T62" s="10"/>
      <c r="U62" s="10"/>
      <c r="V62" s="10"/>
      <c r="W62" s="10"/>
      <c r="X62" s="31">
        <v>1</v>
      </c>
      <c r="Y62" s="31">
        <v>0.80889999999999995</v>
      </c>
    </row>
  </sheetData>
  <autoFilter ref="A18:W62" xr:uid="{00000000-0009-0000-0000-000000000000}"/>
  <mergeCells count="10">
    <mergeCell ref="A17:A18"/>
    <mergeCell ref="B17:B18"/>
    <mergeCell ref="C17:C18"/>
    <mergeCell ref="K17:K18"/>
    <mergeCell ref="W17:W18"/>
    <mergeCell ref="D17:E17"/>
    <mergeCell ref="F17:G17"/>
    <mergeCell ref="H17:J17"/>
    <mergeCell ref="L17:Q17"/>
    <mergeCell ref="R17:V17"/>
  </mergeCells>
  <phoneticPr fontId="18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E9277ACE14B4D87B330104C9D55DF" ma:contentTypeVersion="14" ma:contentTypeDescription="Create a new document." ma:contentTypeScope="" ma:versionID="9a5d43c7d9e5cdebfc5485bae421cc2c">
  <xsd:schema xmlns:xsd="http://www.w3.org/2001/XMLSchema" xmlns:xs="http://www.w3.org/2001/XMLSchema" xmlns:p="http://schemas.microsoft.com/office/2006/metadata/properties" xmlns:ns3="5049b8df-62a4-4b4c-84cb-c75a14c41102" xmlns:ns4="d37dd8f2-db58-4f1f-98a2-c7eaa248dfb1" targetNamespace="http://schemas.microsoft.com/office/2006/metadata/properties" ma:root="true" ma:fieldsID="89cc567d14eb9059fd2255db4db7bfb2" ns3:_="" ns4:_="">
    <xsd:import namespace="5049b8df-62a4-4b4c-84cb-c75a14c41102"/>
    <xsd:import namespace="d37dd8f2-db58-4f1f-98a2-c7eaa248dfb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49b8df-62a4-4b4c-84cb-c75a14c411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7dd8f2-db58-4f1f-98a2-c7eaa248df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49b8df-62a4-4b4c-84cb-c75a14c41102" xsi:nil="true"/>
  </documentManagement>
</p:properties>
</file>

<file path=customXml/itemProps1.xml><?xml version="1.0" encoding="utf-8"?>
<ds:datastoreItem xmlns:ds="http://schemas.openxmlformats.org/officeDocument/2006/customXml" ds:itemID="{A77F78D1-C680-4DC0-B56E-05F2B905E346}">
  <ds:schemaRefs/>
</ds:datastoreItem>
</file>

<file path=customXml/itemProps2.xml><?xml version="1.0" encoding="utf-8"?>
<ds:datastoreItem xmlns:ds="http://schemas.openxmlformats.org/officeDocument/2006/customXml" ds:itemID="{EBDC0C6E-07A9-4204-8460-47918305162A}">
  <ds:schemaRefs/>
</ds:datastoreItem>
</file>

<file path=customXml/itemProps3.xml><?xml version="1.0" encoding="utf-8"?>
<ds:datastoreItem xmlns:ds="http://schemas.openxmlformats.org/officeDocument/2006/customXml" ds:itemID="{85298E44-F5CF-4F05-B33B-17037D26F2E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曲奇怪</dc:creator>
  <cp:lastModifiedBy>Wu, Jerome</cp:lastModifiedBy>
  <dcterms:created xsi:type="dcterms:W3CDTF">2025-09-28T02:38:00Z</dcterms:created>
  <dcterms:modified xsi:type="dcterms:W3CDTF">2026-07-17T08:12:55Z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29BF157D4779449581943D5EE139AFEC_13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0x010100750E9277ACE14B4D87B330104C9D55DF</vt:lpwstr>
  </property>
</Properties>
</file>